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ityuni-my.sharepoint.com/personal/pietro_rota_bayes_city_ac_uk/Documents/Documents/a2025-2026 BAYES/FI - Fixed Income/FI - Coursework/"/>
    </mc:Choice>
  </mc:AlternateContent>
  <xr:revisionPtr revIDLastSave="12854" documentId="8_{0CA9ED41-F601-4077-AF91-229A1ABFAEE7}" xr6:coauthVersionLast="47" xr6:coauthVersionMax="47" xr10:uidLastSave="{03EE2FBD-98FA-43CE-9EBF-58B344E3B535}"/>
  <bookViews>
    <workbookView xWindow="2910" yWindow="2910" windowWidth="16200" windowHeight="9308" tabRatio="860" firstSheet="6" activeTab="6" xr2:uid="{8D925CCA-EB42-4DA7-81AC-CD0DD71CD8DD}"/>
  </bookViews>
  <sheets>
    <sheet name="Bloomberg (Online)" sheetId="15" r:id="rId1"/>
    <sheet name="Offline" sheetId="14" r:id="rId2"/>
    <sheet name="SORT" sheetId="5" r:id="rId3"/>
    <sheet name="ID filter" sheetId="6" r:id="rId4"/>
    <sheet name="F coupon&lt;0.5" sheetId="10" r:id="rId5"/>
    <sheet name="F date&lt;=1" sheetId="12" r:id="rId6"/>
    <sheet name="NSS" sheetId="11" r:id="rId7"/>
    <sheet name="MANUAL FILTER" sheetId="9" state="hidden" r:id="rId8"/>
  </sheets>
  <externalReferences>
    <externalReference r:id="rId9"/>
    <externalReference r:id="rId10"/>
    <externalReference r:id="rId11"/>
  </externalReferences>
  <definedNames>
    <definedName name="b0" localSheetId="6">NSS!$C$248</definedName>
    <definedName name="b0">'[1]Nelson Siegel Model'!$B$16</definedName>
    <definedName name="b1_" localSheetId="6">NSS!$C$249</definedName>
    <definedName name="b1_">'[1]Nelson Siegel Model'!$B$17</definedName>
    <definedName name="b2_" localSheetId="6">NSS!$C$250</definedName>
    <definedName name="b2_">'[1]Nelson Siegel Model'!$B$18</definedName>
    <definedName name="b3_" localSheetId="0">'[2]Nelson Siegel Svensson Model'!$C$39</definedName>
    <definedName name="b3_" localSheetId="6">NSS!$C$251</definedName>
    <definedName name="b3_" localSheetId="1">'[2]Nelson Siegel Svensson Model'!$C$39</definedName>
    <definedName name="b3_">#REF!</definedName>
    <definedName name="solver_adj" localSheetId="6" hidden="1">NSS!$C$248:$C$253</definedName>
    <definedName name="solver_cvg" localSheetId="6" hidden="1">0.0001</definedName>
    <definedName name="solver_drv" localSheetId="6" hidden="1">2</definedName>
    <definedName name="solver_eng" localSheetId="6" hidden="1">1</definedName>
    <definedName name="solver_est" localSheetId="6" hidden="1">1</definedName>
    <definedName name="solver_itr" localSheetId="6" hidden="1">2147483647</definedName>
    <definedName name="solver_lhs1" localSheetId="6" hidden="1">NSS!$C$248</definedName>
    <definedName name="solver_mip" localSheetId="6" hidden="1">2147483647</definedName>
    <definedName name="solver_mni" localSheetId="6" hidden="1">30</definedName>
    <definedName name="solver_mrt" localSheetId="6" hidden="1">0.075</definedName>
    <definedName name="solver_msl" localSheetId="6" hidden="1">2</definedName>
    <definedName name="solver_neg" localSheetId="6" hidden="1">2</definedName>
    <definedName name="solver_nod" localSheetId="6" hidden="1">2147483647</definedName>
    <definedName name="solver_num" localSheetId="6" hidden="1">1</definedName>
    <definedName name="solver_nwt" localSheetId="6" hidden="1">1</definedName>
    <definedName name="solver_opt" localSheetId="6" hidden="1">NSS!$E$249</definedName>
    <definedName name="solver_pre" localSheetId="6" hidden="1">0.0000001</definedName>
    <definedName name="solver_rbv" localSheetId="6" hidden="1">1</definedName>
    <definedName name="solver_rel1" localSheetId="6" hidden="1">3</definedName>
    <definedName name="solver_rhs1" localSheetId="6" hidden="1">0</definedName>
    <definedName name="solver_rlx" localSheetId="6" hidden="1">2</definedName>
    <definedName name="solver_rsd" localSheetId="6" hidden="1">0</definedName>
    <definedName name="solver_scl" localSheetId="6" hidden="1">1</definedName>
    <definedName name="solver_sho" localSheetId="6" hidden="1">2</definedName>
    <definedName name="solver_ssz" localSheetId="6" hidden="1">100</definedName>
    <definedName name="solver_tim" localSheetId="6" hidden="1">2147483647</definedName>
    <definedName name="solver_tol" localSheetId="6" hidden="1">1</definedName>
    <definedName name="solver_typ" localSheetId="6" hidden="1">2</definedName>
    <definedName name="solver_val" localSheetId="6" hidden="1">0</definedName>
    <definedName name="solver_ver" localSheetId="6" hidden="1">3</definedName>
    <definedName name="tau1_" localSheetId="6">NSS!$C$252</definedName>
    <definedName name="tau1_">'[1]Nelson Siegel Model'!$B$19</definedName>
    <definedName name="tau2_" localSheetId="0">'[2]Nelson Siegel Svensson Model'!$C$41</definedName>
    <definedName name="tau2_" localSheetId="6">NSS!$C$253</definedName>
    <definedName name="tau2_" localSheetId="1">'[2]Nelson Siegel Svensson Model'!$C$41</definedName>
    <definedName name="tau2_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" i="14" l="1"/>
  <c r="X4" i="14"/>
  <c r="Y4" i="14" s="1"/>
  <c r="Z4" i="14"/>
  <c r="W5" i="14"/>
  <c r="X5" i="14"/>
  <c r="Y5" i="14" s="1"/>
  <c r="Z5" i="14"/>
  <c r="W6" i="14"/>
  <c r="X6" i="14"/>
  <c r="Y6" i="14" s="1"/>
  <c r="Z6" i="14"/>
  <c r="W7" i="14"/>
  <c r="X7" i="14"/>
  <c r="Y7" i="14" s="1"/>
  <c r="Z7" i="14"/>
  <c r="W8" i="14"/>
  <c r="X8" i="14"/>
  <c r="Y8" i="14" s="1"/>
  <c r="Z8" i="14"/>
  <c r="W9" i="14"/>
  <c r="X9" i="14"/>
  <c r="Y9" i="14" s="1"/>
  <c r="Z9" i="14"/>
  <c r="W10" i="14"/>
  <c r="X10" i="14"/>
  <c r="Y10" i="14" s="1"/>
  <c r="Z10" i="14"/>
  <c r="W11" i="14"/>
  <c r="X11" i="14"/>
  <c r="Y11" i="14" s="1"/>
  <c r="Z11" i="14"/>
  <c r="W12" i="14"/>
  <c r="X12" i="14"/>
  <c r="Y12" i="14" s="1"/>
  <c r="Z12" i="14"/>
  <c r="W13" i="14"/>
  <c r="X13" i="14"/>
  <c r="Y13" i="14" s="1"/>
  <c r="Z13" i="14"/>
  <c r="W14" i="14"/>
  <c r="X14" i="14"/>
  <c r="Y14" i="14" s="1"/>
  <c r="Z14" i="14"/>
  <c r="W15" i="14"/>
  <c r="X15" i="14"/>
  <c r="Y15" i="14" s="1"/>
  <c r="Z15" i="14"/>
  <c r="W16" i="14"/>
  <c r="X16" i="14"/>
  <c r="Y16" i="14" s="1"/>
  <c r="Z16" i="14"/>
  <c r="W17" i="14"/>
  <c r="X17" i="14"/>
  <c r="Y17" i="14" s="1"/>
  <c r="Z17" i="14"/>
  <c r="W18" i="14"/>
  <c r="X18" i="14"/>
  <c r="Y18" i="14" s="1"/>
  <c r="Z18" i="14"/>
  <c r="W19" i="14"/>
  <c r="X19" i="14"/>
  <c r="Y19" i="14" s="1"/>
  <c r="Z19" i="14"/>
  <c r="W20" i="14"/>
  <c r="X20" i="14"/>
  <c r="Y20" i="14" s="1"/>
  <c r="Z20" i="14"/>
  <c r="W21" i="14"/>
  <c r="X21" i="14"/>
  <c r="Y21" i="14" s="1"/>
  <c r="Z21" i="14"/>
  <c r="W22" i="14"/>
  <c r="X22" i="14"/>
  <c r="Y22" i="14" s="1"/>
  <c r="Z22" i="14"/>
  <c r="W23" i="14"/>
  <c r="X23" i="14"/>
  <c r="Y23" i="14" s="1"/>
  <c r="Z23" i="14"/>
  <c r="W24" i="14"/>
  <c r="X24" i="14"/>
  <c r="Y24" i="14" s="1"/>
  <c r="Z24" i="14"/>
  <c r="W25" i="14"/>
  <c r="X25" i="14"/>
  <c r="Y25" i="14" s="1"/>
  <c r="Z25" i="14"/>
  <c r="W26" i="14"/>
  <c r="X26" i="14"/>
  <c r="Y26" i="14" s="1"/>
  <c r="Z26" i="14"/>
  <c r="W27" i="14"/>
  <c r="X27" i="14"/>
  <c r="Y27" i="14" s="1"/>
  <c r="Z27" i="14"/>
  <c r="W28" i="14"/>
  <c r="X28" i="14"/>
  <c r="Y28" i="14" s="1"/>
  <c r="Z28" i="14"/>
  <c r="W29" i="14"/>
  <c r="X29" i="14"/>
  <c r="Y29" i="14" s="1"/>
  <c r="Z29" i="14"/>
  <c r="W30" i="14"/>
  <c r="X30" i="14"/>
  <c r="Y30" i="14" s="1"/>
  <c r="Z30" i="14"/>
  <c r="W31" i="14"/>
  <c r="X31" i="14"/>
  <c r="Y31" i="14" s="1"/>
  <c r="Z31" i="14"/>
  <c r="W32" i="14"/>
  <c r="X32" i="14"/>
  <c r="Y32" i="14" s="1"/>
  <c r="Z32" i="14"/>
  <c r="W33" i="14"/>
  <c r="X33" i="14"/>
  <c r="Y33" i="14" s="1"/>
  <c r="Z33" i="14"/>
  <c r="W34" i="14"/>
  <c r="X34" i="14"/>
  <c r="Y34" i="14" s="1"/>
  <c r="Z34" i="14"/>
  <c r="W35" i="14"/>
  <c r="X35" i="14"/>
  <c r="Y35" i="14" s="1"/>
  <c r="Z35" i="14"/>
  <c r="W36" i="14"/>
  <c r="X36" i="14"/>
  <c r="Y36" i="14" s="1"/>
  <c r="Z36" i="14"/>
  <c r="W37" i="14"/>
  <c r="X37" i="14"/>
  <c r="Y37" i="14" s="1"/>
  <c r="Z37" i="14"/>
  <c r="W38" i="14"/>
  <c r="X38" i="14"/>
  <c r="Y38" i="14" s="1"/>
  <c r="Z38" i="14"/>
  <c r="T4" i="14"/>
  <c r="T5" i="14"/>
  <c r="T6" i="14"/>
  <c r="T7" i="14"/>
  <c r="T8" i="14"/>
  <c r="T9" i="14"/>
  <c r="T10" i="14"/>
  <c r="T11" i="14"/>
  <c r="T12" i="14"/>
  <c r="T13" i="14"/>
  <c r="T14" i="14"/>
  <c r="T15" i="14"/>
  <c r="T16" i="14"/>
  <c r="T17" i="14"/>
  <c r="T18" i="14"/>
  <c r="T19" i="14"/>
  <c r="T20" i="14"/>
  <c r="T21" i="14"/>
  <c r="T22" i="14"/>
  <c r="T23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T36" i="14"/>
  <c r="T37" i="14"/>
  <c r="T38" i="14"/>
  <c r="T3" i="14"/>
  <c r="W3" i="14"/>
  <c r="X3" i="14"/>
  <c r="Y3" i="14" s="1"/>
  <c r="Z3" i="14"/>
  <c r="E242" i="11"/>
  <c r="R38" i="15" a="1"/>
  <c r="R38" i="15" s="1"/>
  <c r="Q38" i="15" a="1"/>
  <c r="Q38" i="15" s="1"/>
  <c r="P38" i="15" a="1"/>
  <c r="P38" i="15" s="1"/>
  <c r="O38" i="15" a="1"/>
  <c r="O38" i="15" s="1"/>
  <c r="N38" i="15" a="1"/>
  <c r="N38" i="15" s="1"/>
  <c r="M38" i="15" a="1"/>
  <c r="M38" i="15" s="1"/>
  <c r="L38" i="15" a="1"/>
  <c r="L38" i="15" s="1"/>
  <c r="K38" i="15" a="1"/>
  <c r="K38" i="15" s="1"/>
  <c r="J38" i="15" a="1"/>
  <c r="J38" i="15" s="1"/>
  <c r="I38" i="15" a="1"/>
  <c r="I38" i="15" s="1"/>
  <c r="H38" i="15" a="1"/>
  <c r="H38" i="15" s="1"/>
  <c r="G38" i="15" a="1"/>
  <c r="G38" i="15" s="1"/>
  <c r="F38" i="15" a="1"/>
  <c r="F38" i="15" s="1"/>
  <c r="S38" i="15" s="1"/>
  <c r="E38" i="15" a="1"/>
  <c r="E38" i="15" s="1"/>
  <c r="D38" i="15" a="1"/>
  <c r="D38" i="15" s="1"/>
  <c r="C38" i="15" a="1"/>
  <c r="C38" i="15" s="1"/>
  <c r="B38" i="15" a="1"/>
  <c r="B38" i="15" s="1"/>
  <c r="R37" i="15" a="1"/>
  <c r="R37" i="15" s="1"/>
  <c r="Q37" i="15" a="1"/>
  <c r="Q37" i="15" s="1"/>
  <c r="P37" i="15" a="1"/>
  <c r="P37" i="15" s="1"/>
  <c r="O37" i="15" a="1"/>
  <c r="O37" i="15" s="1"/>
  <c r="N37" i="15" a="1"/>
  <c r="N37" i="15" s="1"/>
  <c r="M37" i="15" a="1"/>
  <c r="M37" i="15" s="1"/>
  <c r="L37" i="15" a="1"/>
  <c r="L37" i="15" s="1"/>
  <c r="K37" i="15" a="1"/>
  <c r="K37" i="15" s="1"/>
  <c r="J37" i="15" a="1"/>
  <c r="J37" i="15" s="1"/>
  <c r="I37" i="15" a="1"/>
  <c r="I37" i="15" s="1"/>
  <c r="H37" i="15" a="1"/>
  <c r="H37" i="15" s="1"/>
  <c r="G37" i="15" a="1"/>
  <c r="G37" i="15" s="1"/>
  <c r="F37" i="15" a="1"/>
  <c r="F37" i="15" s="1"/>
  <c r="S37" i="15" s="1"/>
  <c r="E37" i="15" a="1"/>
  <c r="E37" i="15" s="1"/>
  <c r="D37" i="15" a="1"/>
  <c r="D37" i="15" s="1"/>
  <c r="C37" i="15" a="1"/>
  <c r="C37" i="15" s="1"/>
  <c r="B37" i="15" a="1"/>
  <c r="B37" i="15" s="1"/>
  <c r="R36" i="15" a="1"/>
  <c r="R36" i="15" s="1"/>
  <c r="Q36" i="15" a="1"/>
  <c r="Q36" i="15" s="1"/>
  <c r="P36" i="15" a="1"/>
  <c r="P36" i="15" s="1"/>
  <c r="O36" i="15" a="1"/>
  <c r="O36" i="15" s="1"/>
  <c r="N36" i="15" a="1"/>
  <c r="N36" i="15" s="1"/>
  <c r="M36" i="15" a="1"/>
  <c r="M36" i="15" s="1"/>
  <c r="L36" i="15" a="1"/>
  <c r="L36" i="15" s="1"/>
  <c r="K36" i="15" a="1"/>
  <c r="K36" i="15" s="1"/>
  <c r="J36" i="15" a="1"/>
  <c r="J36" i="15" s="1"/>
  <c r="I36" i="15" a="1"/>
  <c r="I36" i="15" s="1"/>
  <c r="H36" i="15" a="1"/>
  <c r="H36" i="15" s="1"/>
  <c r="G36" i="15" a="1"/>
  <c r="G36" i="15" s="1"/>
  <c r="F36" i="15" a="1"/>
  <c r="F36" i="15" s="1"/>
  <c r="S36" i="15" s="1"/>
  <c r="E36" i="15" a="1"/>
  <c r="E36" i="15" s="1"/>
  <c r="D36" i="15" a="1"/>
  <c r="D36" i="15" s="1"/>
  <c r="C36" i="15" a="1"/>
  <c r="C36" i="15" s="1"/>
  <c r="B36" i="15" a="1"/>
  <c r="B36" i="15" s="1"/>
  <c r="R35" i="15" a="1"/>
  <c r="R35" i="15" s="1"/>
  <c r="Q35" i="15" a="1"/>
  <c r="Q35" i="15" s="1"/>
  <c r="P35" i="15" a="1"/>
  <c r="P35" i="15" s="1"/>
  <c r="O35" i="15" a="1"/>
  <c r="O35" i="15" s="1"/>
  <c r="N35" i="15" a="1"/>
  <c r="N35" i="15" s="1"/>
  <c r="M35" i="15" a="1"/>
  <c r="M35" i="15" s="1"/>
  <c r="L35" i="15" a="1"/>
  <c r="L35" i="15" s="1"/>
  <c r="K35" i="15" a="1"/>
  <c r="K35" i="15" s="1"/>
  <c r="J35" i="15" a="1"/>
  <c r="J35" i="15" s="1"/>
  <c r="I35" i="15" a="1"/>
  <c r="I35" i="15" s="1"/>
  <c r="H35" i="15" a="1"/>
  <c r="H35" i="15" s="1"/>
  <c r="G35" i="15" a="1"/>
  <c r="G35" i="15" s="1"/>
  <c r="F35" i="15" a="1"/>
  <c r="F35" i="15" s="1"/>
  <c r="S35" i="15" s="1"/>
  <c r="E35" i="15" a="1"/>
  <c r="E35" i="15" s="1"/>
  <c r="D35" i="15" a="1"/>
  <c r="D35" i="15" s="1"/>
  <c r="C35" i="15" a="1"/>
  <c r="C35" i="15" s="1"/>
  <c r="B35" i="15" a="1"/>
  <c r="B35" i="15" s="1"/>
  <c r="R34" i="15" a="1"/>
  <c r="R34" i="15" s="1"/>
  <c r="Q34" i="15" a="1"/>
  <c r="Q34" i="15" s="1"/>
  <c r="P34" i="15" a="1"/>
  <c r="P34" i="15" s="1"/>
  <c r="O34" i="15" a="1"/>
  <c r="O34" i="15" s="1"/>
  <c r="N34" i="15" a="1"/>
  <c r="N34" i="15" s="1"/>
  <c r="M34" i="15" a="1"/>
  <c r="M34" i="15" s="1"/>
  <c r="L34" i="15" a="1"/>
  <c r="L34" i="15" s="1"/>
  <c r="K34" i="15" a="1"/>
  <c r="K34" i="15" s="1"/>
  <c r="J34" i="15" a="1"/>
  <c r="J34" i="15" s="1"/>
  <c r="I34" i="15" a="1"/>
  <c r="I34" i="15" s="1"/>
  <c r="H34" i="15" a="1"/>
  <c r="H34" i="15" s="1"/>
  <c r="G34" i="15" a="1"/>
  <c r="G34" i="15" s="1"/>
  <c r="F34" i="15" a="1"/>
  <c r="F34" i="15" s="1"/>
  <c r="S34" i="15" s="1"/>
  <c r="E34" i="15" a="1"/>
  <c r="E34" i="15" s="1"/>
  <c r="D34" i="15" a="1"/>
  <c r="D34" i="15" s="1"/>
  <c r="C34" i="15" a="1"/>
  <c r="C34" i="15" s="1"/>
  <c r="B34" i="15" a="1"/>
  <c r="B34" i="15" s="1"/>
  <c r="R33" i="15" a="1"/>
  <c r="R33" i="15" s="1"/>
  <c r="Q33" i="15" a="1"/>
  <c r="Q33" i="15" s="1"/>
  <c r="P33" i="15" a="1"/>
  <c r="P33" i="15" s="1"/>
  <c r="O33" i="15" a="1"/>
  <c r="O33" i="15" s="1"/>
  <c r="N33" i="15" a="1"/>
  <c r="N33" i="15" s="1"/>
  <c r="M33" i="15" a="1"/>
  <c r="M33" i="15" s="1"/>
  <c r="L33" i="15" a="1"/>
  <c r="L33" i="15" s="1"/>
  <c r="K33" i="15" a="1"/>
  <c r="K33" i="15" s="1"/>
  <c r="J33" i="15" a="1"/>
  <c r="J33" i="15" s="1"/>
  <c r="I33" i="15" a="1"/>
  <c r="I33" i="15" s="1"/>
  <c r="H33" i="15" a="1"/>
  <c r="H33" i="15" s="1"/>
  <c r="G33" i="15" a="1"/>
  <c r="G33" i="15" s="1"/>
  <c r="F33" i="15" a="1"/>
  <c r="F33" i="15" s="1"/>
  <c r="S33" i="15" s="1"/>
  <c r="E33" i="15" a="1"/>
  <c r="E33" i="15" s="1"/>
  <c r="D33" i="15" a="1"/>
  <c r="D33" i="15" s="1"/>
  <c r="C33" i="15" a="1"/>
  <c r="C33" i="15" s="1"/>
  <c r="B33" i="15" a="1"/>
  <c r="B33" i="15" s="1"/>
  <c r="R32" i="15" a="1"/>
  <c r="R32" i="15" s="1"/>
  <c r="Q32" i="15" a="1"/>
  <c r="Q32" i="15" s="1"/>
  <c r="P32" i="15" a="1"/>
  <c r="P32" i="15" s="1"/>
  <c r="O32" i="15" a="1"/>
  <c r="O32" i="15" s="1"/>
  <c r="N32" i="15" a="1"/>
  <c r="N32" i="15" s="1"/>
  <c r="M32" i="15" a="1"/>
  <c r="M32" i="15" s="1"/>
  <c r="L32" i="15" a="1"/>
  <c r="L32" i="15" s="1"/>
  <c r="K32" i="15" a="1"/>
  <c r="K32" i="15" s="1"/>
  <c r="J32" i="15" a="1"/>
  <c r="J32" i="15" s="1"/>
  <c r="I32" i="15" a="1"/>
  <c r="I32" i="15" s="1"/>
  <c r="H32" i="15" a="1"/>
  <c r="H32" i="15" s="1"/>
  <c r="G32" i="15" a="1"/>
  <c r="G32" i="15" s="1"/>
  <c r="F32" i="15" a="1"/>
  <c r="F32" i="15" s="1"/>
  <c r="S32" i="15" s="1"/>
  <c r="E32" i="15" a="1"/>
  <c r="E32" i="15" s="1"/>
  <c r="D32" i="15" a="1"/>
  <c r="D32" i="15" s="1"/>
  <c r="C32" i="15" a="1"/>
  <c r="C32" i="15" s="1"/>
  <c r="B32" i="15" a="1"/>
  <c r="B32" i="15" s="1"/>
  <c r="R31" i="15" a="1"/>
  <c r="R31" i="15" s="1"/>
  <c r="Q31" i="15" a="1"/>
  <c r="Q31" i="15" s="1"/>
  <c r="P31" i="15" a="1"/>
  <c r="P31" i="15" s="1"/>
  <c r="O31" i="15" a="1"/>
  <c r="O31" i="15" s="1"/>
  <c r="N31" i="15" a="1"/>
  <c r="N31" i="15" s="1"/>
  <c r="M31" i="15" a="1"/>
  <c r="M31" i="15" s="1"/>
  <c r="L31" i="15" a="1"/>
  <c r="L31" i="15" s="1"/>
  <c r="K31" i="15" a="1"/>
  <c r="K31" i="15" s="1"/>
  <c r="J31" i="15" a="1"/>
  <c r="J31" i="15" s="1"/>
  <c r="I31" i="15" a="1"/>
  <c r="I31" i="15" s="1"/>
  <c r="H31" i="15" a="1"/>
  <c r="H31" i="15" s="1"/>
  <c r="G31" i="15" a="1"/>
  <c r="G31" i="15" s="1"/>
  <c r="F31" i="15" a="1"/>
  <c r="F31" i="15" s="1"/>
  <c r="S31" i="15" s="1"/>
  <c r="E31" i="15" a="1"/>
  <c r="E31" i="15" s="1"/>
  <c r="D31" i="15" a="1"/>
  <c r="D31" i="15" s="1"/>
  <c r="C31" i="15" a="1"/>
  <c r="C31" i="15" s="1"/>
  <c r="B31" i="15" a="1"/>
  <c r="B31" i="15" s="1"/>
  <c r="R30" i="15" a="1"/>
  <c r="R30" i="15" s="1"/>
  <c r="Q30" i="15" a="1"/>
  <c r="Q30" i="15" s="1"/>
  <c r="P30" i="15" a="1"/>
  <c r="P30" i="15" s="1"/>
  <c r="O30" i="15" a="1"/>
  <c r="O30" i="15" s="1"/>
  <c r="N30" i="15" a="1"/>
  <c r="N30" i="15" s="1"/>
  <c r="M30" i="15" a="1"/>
  <c r="M30" i="15" s="1"/>
  <c r="L30" i="15" a="1"/>
  <c r="L30" i="15" s="1"/>
  <c r="K30" i="15" a="1"/>
  <c r="K30" i="15" s="1"/>
  <c r="J30" i="15" a="1"/>
  <c r="J30" i="15" s="1"/>
  <c r="I30" i="15" a="1"/>
  <c r="I30" i="15" s="1"/>
  <c r="H30" i="15" a="1"/>
  <c r="H30" i="15" s="1"/>
  <c r="G30" i="15" a="1"/>
  <c r="G30" i="15" s="1"/>
  <c r="F30" i="15" a="1"/>
  <c r="F30" i="15" s="1"/>
  <c r="S30" i="15" s="1"/>
  <c r="E30" i="15" a="1"/>
  <c r="E30" i="15" s="1"/>
  <c r="D30" i="15" a="1"/>
  <c r="D30" i="15" s="1"/>
  <c r="C30" i="15" a="1"/>
  <c r="C30" i="15" s="1"/>
  <c r="B30" i="15" a="1"/>
  <c r="B30" i="15" s="1"/>
  <c r="R29" i="15" a="1"/>
  <c r="R29" i="15" s="1"/>
  <c r="Q29" i="15" a="1"/>
  <c r="Q29" i="15" s="1"/>
  <c r="P29" i="15" a="1"/>
  <c r="P29" i="15" s="1"/>
  <c r="O29" i="15" a="1"/>
  <c r="O29" i="15" s="1"/>
  <c r="N29" i="15" a="1"/>
  <c r="N29" i="15" s="1"/>
  <c r="M29" i="15" a="1"/>
  <c r="M29" i="15" s="1"/>
  <c r="L29" i="15" a="1"/>
  <c r="L29" i="15" s="1"/>
  <c r="K29" i="15" a="1"/>
  <c r="K29" i="15" s="1"/>
  <c r="J29" i="15" a="1"/>
  <c r="J29" i="15" s="1"/>
  <c r="I29" i="15" a="1"/>
  <c r="I29" i="15" s="1"/>
  <c r="H29" i="15" a="1"/>
  <c r="H29" i="15" s="1"/>
  <c r="G29" i="15" a="1"/>
  <c r="G29" i="15" s="1"/>
  <c r="F29" i="15" a="1"/>
  <c r="F29" i="15" s="1"/>
  <c r="S29" i="15" s="1"/>
  <c r="E29" i="15" a="1"/>
  <c r="E29" i="15" s="1"/>
  <c r="D29" i="15" a="1"/>
  <c r="D29" i="15" s="1"/>
  <c r="C29" i="15" a="1"/>
  <c r="C29" i="15" s="1"/>
  <c r="B29" i="15" a="1"/>
  <c r="B29" i="15" s="1"/>
  <c r="R28" i="15" a="1"/>
  <c r="R28" i="15" s="1"/>
  <c r="Q28" i="15" a="1"/>
  <c r="Q28" i="15" s="1"/>
  <c r="P28" i="15" a="1"/>
  <c r="P28" i="15" s="1"/>
  <c r="O28" i="15" a="1"/>
  <c r="O28" i="15" s="1"/>
  <c r="N28" i="15" a="1"/>
  <c r="N28" i="15" s="1"/>
  <c r="M28" i="15" a="1"/>
  <c r="M28" i="15" s="1"/>
  <c r="L28" i="15" a="1"/>
  <c r="L28" i="15" s="1"/>
  <c r="K28" i="15" a="1"/>
  <c r="K28" i="15" s="1"/>
  <c r="J28" i="15" a="1"/>
  <c r="J28" i="15" s="1"/>
  <c r="I28" i="15" a="1"/>
  <c r="I28" i="15" s="1"/>
  <c r="H28" i="15" a="1"/>
  <c r="H28" i="15" s="1"/>
  <c r="G28" i="15" a="1"/>
  <c r="G28" i="15" s="1"/>
  <c r="F28" i="15" a="1"/>
  <c r="F28" i="15" s="1"/>
  <c r="S28" i="15" s="1"/>
  <c r="E28" i="15" a="1"/>
  <c r="E28" i="15" s="1"/>
  <c r="D28" i="15" a="1"/>
  <c r="D28" i="15" s="1"/>
  <c r="C28" i="15" a="1"/>
  <c r="C28" i="15" s="1"/>
  <c r="B28" i="15" a="1"/>
  <c r="B28" i="15" s="1"/>
  <c r="R27" i="15" a="1"/>
  <c r="R27" i="15" s="1"/>
  <c r="Q27" i="15" a="1"/>
  <c r="Q27" i="15" s="1"/>
  <c r="P27" i="15" a="1"/>
  <c r="P27" i="15" s="1"/>
  <c r="O27" i="15" a="1"/>
  <c r="O27" i="15" s="1"/>
  <c r="N27" i="15" a="1"/>
  <c r="N27" i="15" s="1"/>
  <c r="M27" i="15" a="1"/>
  <c r="M27" i="15" s="1"/>
  <c r="L27" i="15" a="1"/>
  <c r="L27" i="15" s="1"/>
  <c r="K27" i="15" a="1"/>
  <c r="K27" i="15" s="1"/>
  <c r="J27" i="15" a="1"/>
  <c r="J27" i="15" s="1"/>
  <c r="I27" i="15" a="1"/>
  <c r="I27" i="15" s="1"/>
  <c r="H27" i="15" a="1"/>
  <c r="H27" i="15" s="1"/>
  <c r="G27" i="15" a="1"/>
  <c r="G27" i="15" s="1"/>
  <c r="F27" i="15" a="1"/>
  <c r="F27" i="15" s="1"/>
  <c r="S27" i="15" s="1"/>
  <c r="E27" i="15" a="1"/>
  <c r="E27" i="15" s="1"/>
  <c r="D27" i="15" a="1"/>
  <c r="D27" i="15" s="1"/>
  <c r="C27" i="15" a="1"/>
  <c r="C27" i="15" s="1"/>
  <c r="B27" i="15" a="1"/>
  <c r="B27" i="15" s="1"/>
  <c r="R26" i="15" a="1"/>
  <c r="R26" i="15" s="1"/>
  <c r="Q26" i="15" a="1"/>
  <c r="Q26" i="15" s="1"/>
  <c r="P26" i="15" a="1"/>
  <c r="P26" i="15" s="1"/>
  <c r="O26" i="15" a="1"/>
  <c r="O26" i="15" s="1"/>
  <c r="N26" i="15" a="1"/>
  <c r="N26" i="15" s="1"/>
  <c r="M26" i="15" a="1"/>
  <c r="M26" i="15" s="1"/>
  <c r="L26" i="15" a="1"/>
  <c r="L26" i="15" s="1"/>
  <c r="K26" i="15" a="1"/>
  <c r="K26" i="15" s="1"/>
  <c r="J26" i="15" a="1"/>
  <c r="J26" i="15" s="1"/>
  <c r="I26" i="15" a="1"/>
  <c r="I26" i="15" s="1"/>
  <c r="H26" i="15" a="1"/>
  <c r="H26" i="15" s="1"/>
  <c r="G26" i="15" a="1"/>
  <c r="G26" i="15" s="1"/>
  <c r="F26" i="15" a="1"/>
  <c r="F26" i="15" s="1"/>
  <c r="S26" i="15" s="1"/>
  <c r="E26" i="15" a="1"/>
  <c r="E26" i="15" s="1"/>
  <c r="D26" i="15" a="1"/>
  <c r="D26" i="15" s="1"/>
  <c r="C26" i="15" a="1"/>
  <c r="C26" i="15" s="1"/>
  <c r="B26" i="15" a="1"/>
  <c r="B26" i="15" s="1"/>
  <c r="R25" i="15" a="1"/>
  <c r="R25" i="15" s="1"/>
  <c r="Q25" i="15" a="1"/>
  <c r="Q25" i="15" s="1"/>
  <c r="P25" i="15" a="1"/>
  <c r="P25" i="15" s="1"/>
  <c r="O25" i="15" a="1"/>
  <c r="O25" i="15" s="1"/>
  <c r="N25" i="15" a="1"/>
  <c r="N25" i="15" s="1"/>
  <c r="M25" i="15" a="1"/>
  <c r="M25" i="15" s="1"/>
  <c r="L25" i="15" a="1"/>
  <c r="L25" i="15" s="1"/>
  <c r="K25" i="15" a="1"/>
  <c r="K25" i="15" s="1"/>
  <c r="J25" i="15" a="1"/>
  <c r="J25" i="15" s="1"/>
  <c r="I25" i="15" a="1"/>
  <c r="I25" i="15" s="1"/>
  <c r="H25" i="15" a="1"/>
  <c r="H25" i="15" s="1"/>
  <c r="G25" i="15" a="1"/>
  <c r="G25" i="15" s="1"/>
  <c r="F25" i="15" a="1"/>
  <c r="F25" i="15" s="1"/>
  <c r="S25" i="15" s="1"/>
  <c r="E25" i="15" a="1"/>
  <c r="E25" i="15" s="1"/>
  <c r="D25" i="15" a="1"/>
  <c r="D25" i="15" s="1"/>
  <c r="C25" i="15" a="1"/>
  <c r="C25" i="15" s="1"/>
  <c r="B25" i="15" a="1"/>
  <c r="B25" i="15" s="1"/>
  <c r="R24" i="15" a="1"/>
  <c r="R24" i="15" s="1"/>
  <c r="Q24" i="15" a="1"/>
  <c r="Q24" i="15" s="1"/>
  <c r="P24" i="15" a="1"/>
  <c r="P24" i="15" s="1"/>
  <c r="O24" i="15" a="1"/>
  <c r="O24" i="15" s="1"/>
  <c r="N24" i="15" a="1"/>
  <c r="N24" i="15" s="1"/>
  <c r="M24" i="15" a="1"/>
  <c r="M24" i="15" s="1"/>
  <c r="L24" i="15" a="1"/>
  <c r="L24" i="15" s="1"/>
  <c r="K24" i="15" a="1"/>
  <c r="K24" i="15" s="1"/>
  <c r="J24" i="15" a="1"/>
  <c r="J24" i="15" s="1"/>
  <c r="I24" i="15" a="1"/>
  <c r="I24" i="15" s="1"/>
  <c r="H24" i="15" a="1"/>
  <c r="H24" i="15" s="1"/>
  <c r="G24" i="15" a="1"/>
  <c r="G24" i="15" s="1"/>
  <c r="F24" i="15" a="1"/>
  <c r="F24" i="15" s="1"/>
  <c r="S24" i="15" s="1"/>
  <c r="E24" i="15" a="1"/>
  <c r="E24" i="15" s="1"/>
  <c r="D24" i="15" a="1"/>
  <c r="D24" i="15" s="1"/>
  <c r="C24" i="15" a="1"/>
  <c r="C24" i="15" s="1"/>
  <c r="B24" i="15" a="1"/>
  <c r="B24" i="15" s="1"/>
  <c r="R23" i="15" a="1"/>
  <c r="R23" i="15" s="1"/>
  <c r="Q23" i="15" a="1"/>
  <c r="Q23" i="15" s="1"/>
  <c r="P23" i="15" a="1"/>
  <c r="P23" i="15" s="1"/>
  <c r="O23" i="15" a="1"/>
  <c r="O23" i="15" s="1"/>
  <c r="N23" i="15" a="1"/>
  <c r="N23" i="15" s="1"/>
  <c r="M23" i="15" a="1"/>
  <c r="M23" i="15" s="1"/>
  <c r="L23" i="15" a="1"/>
  <c r="L23" i="15" s="1"/>
  <c r="K23" i="15" a="1"/>
  <c r="K23" i="15" s="1"/>
  <c r="J23" i="15" a="1"/>
  <c r="J23" i="15" s="1"/>
  <c r="I23" i="15" a="1"/>
  <c r="I23" i="15" s="1"/>
  <c r="H23" i="15" a="1"/>
  <c r="H23" i="15" s="1"/>
  <c r="G23" i="15" a="1"/>
  <c r="G23" i="15" s="1"/>
  <c r="F23" i="15" a="1"/>
  <c r="F23" i="15" s="1"/>
  <c r="S23" i="15" s="1"/>
  <c r="E23" i="15" a="1"/>
  <c r="E23" i="15" s="1"/>
  <c r="D23" i="15" a="1"/>
  <c r="D23" i="15" s="1"/>
  <c r="C23" i="15" a="1"/>
  <c r="C23" i="15" s="1"/>
  <c r="B23" i="15" a="1"/>
  <c r="B23" i="15" s="1"/>
  <c r="R22" i="15" a="1"/>
  <c r="R22" i="15" s="1"/>
  <c r="Q22" i="15" a="1"/>
  <c r="Q22" i="15" s="1"/>
  <c r="P22" i="15" a="1"/>
  <c r="P22" i="15" s="1"/>
  <c r="O22" i="15" a="1"/>
  <c r="O22" i="15" s="1"/>
  <c r="N22" i="15" a="1"/>
  <c r="N22" i="15" s="1"/>
  <c r="M22" i="15" a="1"/>
  <c r="M22" i="15" s="1"/>
  <c r="L22" i="15" a="1"/>
  <c r="L22" i="15" s="1"/>
  <c r="K22" i="15" a="1"/>
  <c r="K22" i="15" s="1"/>
  <c r="J22" i="15" a="1"/>
  <c r="J22" i="15" s="1"/>
  <c r="I22" i="15" a="1"/>
  <c r="I22" i="15" s="1"/>
  <c r="H22" i="15" a="1"/>
  <c r="H22" i="15" s="1"/>
  <c r="G22" i="15" a="1"/>
  <c r="G22" i="15" s="1"/>
  <c r="F22" i="15" a="1"/>
  <c r="F22" i="15" s="1"/>
  <c r="S22" i="15" s="1"/>
  <c r="E22" i="15" a="1"/>
  <c r="E22" i="15" s="1"/>
  <c r="D22" i="15" a="1"/>
  <c r="D22" i="15" s="1"/>
  <c r="C22" i="15" a="1"/>
  <c r="C22" i="15" s="1"/>
  <c r="B22" i="15" a="1"/>
  <c r="B22" i="15" s="1"/>
  <c r="R21" i="15" a="1"/>
  <c r="R21" i="15" s="1"/>
  <c r="Q21" i="15" a="1"/>
  <c r="Q21" i="15" s="1"/>
  <c r="P21" i="15" a="1"/>
  <c r="P21" i="15" s="1"/>
  <c r="O21" i="15" a="1"/>
  <c r="O21" i="15" s="1"/>
  <c r="N21" i="15" a="1"/>
  <c r="N21" i="15" s="1"/>
  <c r="M21" i="15" a="1"/>
  <c r="M21" i="15" s="1"/>
  <c r="L21" i="15" a="1"/>
  <c r="L21" i="15" s="1"/>
  <c r="K21" i="15" a="1"/>
  <c r="K21" i="15" s="1"/>
  <c r="J21" i="15" a="1"/>
  <c r="J21" i="15" s="1"/>
  <c r="I21" i="15" a="1"/>
  <c r="I21" i="15" s="1"/>
  <c r="H21" i="15" a="1"/>
  <c r="H21" i="15" s="1"/>
  <c r="G21" i="15" a="1"/>
  <c r="G21" i="15" s="1"/>
  <c r="F21" i="15" a="1"/>
  <c r="F21" i="15" s="1"/>
  <c r="S21" i="15" s="1"/>
  <c r="E21" i="15" a="1"/>
  <c r="E21" i="15" s="1"/>
  <c r="D21" i="15" a="1"/>
  <c r="D21" i="15" s="1"/>
  <c r="C21" i="15" a="1"/>
  <c r="C21" i="15" s="1"/>
  <c r="B21" i="15" a="1"/>
  <c r="B21" i="15" s="1"/>
  <c r="R20" i="15" a="1"/>
  <c r="R20" i="15" s="1"/>
  <c r="Q20" i="15" a="1"/>
  <c r="Q20" i="15" s="1"/>
  <c r="P20" i="15" a="1"/>
  <c r="P20" i="15" s="1"/>
  <c r="O20" i="15" a="1"/>
  <c r="O20" i="15" s="1"/>
  <c r="N20" i="15" a="1"/>
  <c r="N20" i="15" s="1"/>
  <c r="M20" i="15" a="1"/>
  <c r="M20" i="15" s="1"/>
  <c r="L20" i="15" a="1"/>
  <c r="L20" i="15" s="1"/>
  <c r="K20" i="15" a="1"/>
  <c r="K20" i="15" s="1"/>
  <c r="J20" i="15" a="1"/>
  <c r="J20" i="15" s="1"/>
  <c r="I20" i="15" a="1"/>
  <c r="I20" i="15" s="1"/>
  <c r="H20" i="15" a="1"/>
  <c r="H20" i="15" s="1"/>
  <c r="G20" i="15" a="1"/>
  <c r="G20" i="15" s="1"/>
  <c r="F20" i="15" a="1"/>
  <c r="F20" i="15" s="1"/>
  <c r="S20" i="15" s="1"/>
  <c r="E20" i="15" a="1"/>
  <c r="E20" i="15" s="1"/>
  <c r="D20" i="15" a="1"/>
  <c r="D20" i="15" s="1"/>
  <c r="C20" i="15" a="1"/>
  <c r="C20" i="15" s="1"/>
  <c r="B20" i="15" a="1"/>
  <c r="B20" i="15" s="1"/>
  <c r="R19" i="15" a="1"/>
  <c r="R19" i="15" s="1"/>
  <c r="Q19" i="15" a="1"/>
  <c r="Q19" i="15" s="1"/>
  <c r="P19" i="15" a="1"/>
  <c r="P19" i="15" s="1"/>
  <c r="O19" i="15" a="1"/>
  <c r="O19" i="15" s="1"/>
  <c r="N19" i="15" a="1"/>
  <c r="N19" i="15" s="1"/>
  <c r="M19" i="15" a="1"/>
  <c r="M19" i="15" s="1"/>
  <c r="L19" i="15" a="1"/>
  <c r="L19" i="15" s="1"/>
  <c r="K19" i="15" a="1"/>
  <c r="K19" i="15" s="1"/>
  <c r="J19" i="15" a="1"/>
  <c r="J19" i="15" s="1"/>
  <c r="I19" i="15" a="1"/>
  <c r="I19" i="15" s="1"/>
  <c r="H19" i="15" a="1"/>
  <c r="H19" i="15" s="1"/>
  <c r="G19" i="15" a="1"/>
  <c r="G19" i="15" s="1"/>
  <c r="F19" i="15" a="1"/>
  <c r="F19" i="15" s="1"/>
  <c r="S19" i="15" s="1"/>
  <c r="E19" i="15" a="1"/>
  <c r="E19" i="15" s="1"/>
  <c r="D19" i="15" a="1"/>
  <c r="D19" i="15" s="1"/>
  <c r="C19" i="15" a="1"/>
  <c r="C19" i="15" s="1"/>
  <c r="B19" i="15" a="1"/>
  <c r="B19" i="15" s="1"/>
  <c r="R18" i="15" a="1"/>
  <c r="R18" i="15" s="1"/>
  <c r="Q18" i="15" a="1"/>
  <c r="Q18" i="15" s="1"/>
  <c r="P18" i="15" a="1"/>
  <c r="P18" i="15" s="1"/>
  <c r="O18" i="15" a="1"/>
  <c r="O18" i="15" s="1"/>
  <c r="N18" i="15" a="1"/>
  <c r="N18" i="15" s="1"/>
  <c r="M18" i="15" a="1"/>
  <c r="M18" i="15" s="1"/>
  <c r="L18" i="15" a="1"/>
  <c r="L18" i="15" s="1"/>
  <c r="K18" i="15" a="1"/>
  <c r="K18" i="15" s="1"/>
  <c r="J18" i="15" a="1"/>
  <c r="J18" i="15" s="1"/>
  <c r="I18" i="15" a="1"/>
  <c r="I18" i="15" s="1"/>
  <c r="H18" i="15" a="1"/>
  <c r="H18" i="15" s="1"/>
  <c r="G18" i="15" a="1"/>
  <c r="G18" i="15" s="1"/>
  <c r="F18" i="15" a="1"/>
  <c r="F18" i="15" s="1"/>
  <c r="S18" i="15" s="1"/>
  <c r="E18" i="15" a="1"/>
  <c r="E18" i="15" s="1"/>
  <c r="D18" i="15" a="1"/>
  <c r="D18" i="15" s="1"/>
  <c r="C18" i="15" a="1"/>
  <c r="C18" i="15" s="1"/>
  <c r="B18" i="15" a="1"/>
  <c r="B18" i="15" s="1"/>
  <c r="R17" i="15" a="1"/>
  <c r="R17" i="15" s="1"/>
  <c r="Q17" i="15" a="1"/>
  <c r="Q17" i="15" s="1"/>
  <c r="P17" i="15" a="1"/>
  <c r="P17" i="15" s="1"/>
  <c r="O17" i="15" a="1"/>
  <c r="O17" i="15" s="1"/>
  <c r="N17" i="15" a="1"/>
  <c r="N17" i="15" s="1"/>
  <c r="M17" i="15" a="1"/>
  <c r="M17" i="15" s="1"/>
  <c r="L17" i="15" a="1"/>
  <c r="L17" i="15" s="1"/>
  <c r="K17" i="15" a="1"/>
  <c r="K17" i="15" s="1"/>
  <c r="J17" i="15" a="1"/>
  <c r="J17" i="15" s="1"/>
  <c r="I17" i="15" a="1"/>
  <c r="I17" i="15" s="1"/>
  <c r="H17" i="15" a="1"/>
  <c r="H17" i="15" s="1"/>
  <c r="G17" i="15" a="1"/>
  <c r="G17" i="15" s="1"/>
  <c r="F17" i="15" a="1"/>
  <c r="F17" i="15" s="1"/>
  <c r="S17" i="15" s="1"/>
  <c r="E17" i="15" a="1"/>
  <c r="E17" i="15" s="1"/>
  <c r="D17" i="15" a="1"/>
  <c r="D17" i="15" s="1"/>
  <c r="C17" i="15" a="1"/>
  <c r="C17" i="15" s="1"/>
  <c r="B17" i="15" a="1"/>
  <c r="B17" i="15" s="1"/>
  <c r="R16" i="15" a="1"/>
  <c r="R16" i="15" s="1"/>
  <c r="Q16" i="15" a="1"/>
  <c r="Q16" i="15" s="1"/>
  <c r="P16" i="15" a="1"/>
  <c r="P16" i="15" s="1"/>
  <c r="O16" i="15" a="1"/>
  <c r="O16" i="15" s="1"/>
  <c r="N16" i="15" a="1"/>
  <c r="N16" i="15" s="1"/>
  <c r="M16" i="15" a="1"/>
  <c r="M16" i="15" s="1"/>
  <c r="L16" i="15" a="1"/>
  <c r="L16" i="15" s="1"/>
  <c r="K16" i="15" a="1"/>
  <c r="K16" i="15" s="1"/>
  <c r="J16" i="15" a="1"/>
  <c r="J16" i="15" s="1"/>
  <c r="I16" i="15" a="1"/>
  <c r="I16" i="15" s="1"/>
  <c r="H16" i="15" a="1"/>
  <c r="H16" i="15" s="1"/>
  <c r="G16" i="15" a="1"/>
  <c r="G16" i="15" s="1"/>
  <c r="F16" i="15" a="1"/>
  <c r="F16" i="15" s="1"/>
  <c r="S16" i="15" s="1"/>
  <c r="E16" i="15" a="1"/>
  <c r="E16" i="15" s="1"/>
  <c r="D16" i="15" a="1"/>
  <c r="D16" i="15" s="1"/>
  <c r="C16" i="15" a="1"/>
  <c r="C16" i="15" s="1"/>
  <c r="B16" i="15" a="1"/>
  <c r="B16" i="15" s="1"/>
  <c r="R15" i="15" a="1"/>
  <c r="R15" i="15" s="1"/>
  <c r="Q15" i="15" a="1"/>
  <c r="Q15" i="15" s="1"/>
  <c r="P15" i="15" a="1"/>
  <c r="P15" i="15" s="1"/>
  <c r="O15" i="15" a="1"/>
  <c r="O15" i="15" s="1"/>
  <c r="N15" i="15" a="1"/>
  <c r="N15" i="15" s="1"/>
  <c r="M15" i="15" a="1"/>
  <c r="M15" i="15" s="1"/>
  <c r="L15" i="15" a="1"/>
  <c r="L15" i="15" s="1"/>
  <c r="K15" i="15" a="1"/>
  <c r="K15" i="15" s="1"/>
  <c r="J15" i="15" a="1"/>
  <c r="J15" i="15" s="1"/>
  <c r="I15" i="15" a="1"/>
  <c r="I15" i="15" s="1"/>
  <c r="H15" i="15" a="1"/>
  <c r="H15" i="15" s="1"/>
  <c r="G15" i="15" a="1"/>
  <c r="G15" i="15" s="1"/>
  <c r="F15" i="15" a="1"/>
  <c r="F15" i="15" s="1"/>
  <c r="S15" i="15" s="1"/>
  <c r="E15" i="15" a="1"/>
  <c r="E15" i="15" s="1"/>
  <c r="D15" i="15" a="1"/>
  <c r="D15" i="15" s="1"/>
  <c r="C15" i="15" a="1"/>
  <c r="C15" i="15" s="1"/>
  <c r="B15" i="15" a="1"/>
  <c r="B15" i="15" s="1"/>
  <c r="R14" i="15" a="1"/>
  <c r="R14" i="15" s="1"/>
  <c r="Q14" i="15" a="1"/>
  <c r="Q14" i="15" s="1"/>
  <c r="P14" i="15" a="1"/>
  <c r="P14" i="15" s="1"/>
  <c r="O14" i="15" a="1"/>
  <c r="O14" i="15" s="1"/>
  <c r="N14" i="15" a="1"/>
  <c r="N14" i="15" s="1"/>
  <c r="M14" i="15" a="1"/>
  <c r="M14" i="15" s="1"/>
  <c r="L14" i="15" a="1"/>
  <c r="L14" i="15" s="1"/>
  <c r="K14" i="15" a="1"/>
  <c r="K14" i="15" s="1"/>
  <c r="J14" i="15" a="1"/>
  <c r="J14" i="15" s="1"/>
  <c r="I14" i="15" a="1"/>
  <c r="I14" i="15" s="1"/>
  <c r="H14" i="15" a="1"/>
  <c r="H14" i="15" s="1"/>
  <c r="G14" i="15" a="1"/>
  <c r="G14" i="15" s="1"/>
  <c r="F14" i="15" a="1"/>
  <c r="F14" i="15" s="1"/>
  <c r="S14" i="15" s="1"/>
  <c r="E14" i="15" a="1"/>
  <c r="E14" i="15" s="1"/>
  <c r="D14" i="15" a="1"/>
  <c r="D14" i="15" s="1"/>
  <c r="C14" i="15" a="1"/>
  <c r="C14" i="15" s="1"/>
  <c r="B14" i="15" a="1"/>
  <c r="B14" i="15" s="1"/>
  <c r="R13" i="15" a="1"/>
  <c r="R13" i="15" s="1"/>
  <c r="Q13" i="15" a="1"/>
  <c r="Q13" i="15" s="1"/>
  <c r="P13" i="15" a="1"/>
  <c r="P13" i="15" s="1"/>
  <c r="O13" i="15" a="1"/>
  <c r="O13" i="15" s="1"/>
  <c r="N13" i="15" a="1"/>
  <c r="N13" i="15" s="1"/>
  <c r="M13" i="15" a="1"/>
  <c r="M13" i="15" s="1"/>
  <c r="L13" i="15" a="1"/>
  <c r="L13" i="15" s="1"/>
  <c r="K13" i="15" a="1"/>
  <c r="K13" i="15" s="1"/>
  <c r="J13" i="15" a="1"/>
  <c r="J13" i="15" s="1"/>
  <c r="I13" i="15" a="1"/>
  <c r="I13" i="15" s="1"/>
  <c r="H13" i="15" a="1"/>
  <c r="H13" i="15" s="1"/>
  <c r="G13" i="15" a="1"/>
  <c r="G13" i="15" s="1"/>
  <c r="F13" i="15" a="1"/>
  <c r="F13" i="15" s="1"/>
  <c r="S13" i="15" s="1"/>
  <c r="E13" i="15" a="1"/>
  <c r="E13" i="15" s="1"/>
  <c r="D13" i="15" a="1"/>
  <c r="D13" i="15" s="1"/>
  <c r="C13" i="15" a="1"/>
  <c r="C13" i="15" s="1"/>
  <c r="B13" i="15" a="1"/>
  <c r="B13" i="15" s="1"/>
  <c r="R12" i="15" a="1"/>
  <c r="R12" i="15" s="1"/>
  <c r="Q12" i="15" a="1"/>
  <c r="Q12" i="15" s="1"/>
  <c r="P12" i="15" a="1"/>
  <c r="P12" i="15" s="1"/>
  <c r="O12" i="15" a="1"/>
  <c r="O12" i="15" s="1"/>
  <c r="N12" i="15" a="1"/>
  <c r="N12" i="15" s="1"/>
  <c r="M12" i="15" a="1"/>
  <c r="M12" i="15" s="1"/>
  <c r="L12" i="15" a="1"/>
  <c r="L12" i="15" s="1"/>
  <c r="K12" i="15" a="1"/>
  <c r="K12" i="15" s="1"/>
  <c r="J12" i="15" a="1"/>
  <c r="J12" i="15" s="1"/>
  <c r="I12" i="15" a="1"/>
  <c r="I12" i="15" s="1"/>
  <c r="H12" i="15" a="1"/>
  <c r="H12" i="15" s="1"/>
  <c r="G12" i="15" a="1"/>
  <c r="G12" i="15" s="1"/>
  <c r="F12" i="15" a="1"/>
  <c r="F12" i="15" s="1"/>
  <c r="S12" i="15" s="1"/>
  <c r="E12" i="15" a="1"/>
  <c r="E12" i="15" s="1"/>
  <c r="D12" i="15" a="1"/>
  <c r="D12" i="15" s="1"/>
  <c r="C12" i="15" a="1"/>
  <c r="C12" i="15" s="1"/>
  <c r="B12" i="15" a="1"/>
  <c r="B12" i="15" s="1"/>
  <c r="R11" i="15" a="1"/>
  <c r="R11" i="15" s="1"/>
  <c r="Q11" i="15" a="1"/>
  <c r="Q11" i="15" s="1"/>
  <c r="P11" i="15" a="1"/>
  <c r="P11" i="15" s="1"/>
  <c r="O11" i="15" a="1"/>
  <c r="O11" i="15" s="1"/>
  <c r="N11" i="15" a="1"/>
  <c r="N11" i="15" s="1"/>
  <c r="M11" i="15" a="1"/>
  <c r="M11" i="15" s="1"/>
  <c r="L11" i="15" a="1"/>
  <c r="L11" i="15" s="1"/>
  <c r="K11" i="15" a="1"/>
  <c r="K11" i="15" s="1"/>
  <c r="J11" i="15" a="1"/>
  <c r="J11" i="15" s="1"/>
  <c r="I11" i="15" a="1"/>
  <c r="I11" i="15" s="1"/>
  <c r="H11" i="15" a="1"/>
  <c r="H11" i="15" s="1"/>
  <c r="G11" i="15" a="1"/>
  <c r="G11" i="15" s="1"/>
  <c r="F11" i="15" a="1"/>
  <c r="F11" i="15" s="1"/>
  <c r="S11" i="15" s="1"/>
  <c r="E11" i="15" a="1"/>
  <c r="E11" i="15" s="1"/>
  <c r="D11" i="15" a="1"/>
  <c r="D11" i="15" s="1"/>
  <c r="C11" i="15" a="1"/>
  <c r="C11" i="15" s="1"/>
  <c r="B11" i="15" a="1"/>
  <c r="B11" i="15" s="1"/>
  <c r="R10" i="15" a="1"/>
  <c r="R10" i="15" s="1"/>
  <c r="Q10" i="15" a="1"/>
  <c r="Q10" i="15" s="1"/>
  <c r="P10" i="15" a="1"/>
  <c r="P10" i="15" s="1"/>
  <c r="O10" i="15" a="1"/>
  <c r="O10" i="15" s="1"/>
  <c r="N10" i="15" a="1"/>
  <c r="N10" i="15" s="1"/>
  <c r="M10" i="15" a="1"/>
  <c r="M10" i="15" s="1"/>
  <c r="L10" i="15" a="1"/>
  <c r="L10" i="15" s="1"/>
  <c r="K10" i="15" a="1"/>
  <c r="K10" i="15" s="1"/>
  <c r="J10" i="15" a="1"/>
  <c r="J10" i="15" s="1"/>
  <c r="I10" i="15" a="1"/>
  <c r="I10" i="15" s="1"/>
  <c r="H10" i="15" a="1"/>
  <c r="H10" i="15" s="1"/>
  <c r="G10" i="15" a="1"/>
  <c r="G10" i="15" s="1"/>
  <c r="F10" i="15" a="1"/>
  <c r="F10" i="15" s="1"/>
  <c r="S10" i="15" s="1"/>
  <c r="E10" i="15" a="1"/>
  <c r="E10" i="15" s="1"/>
  <c r="D10" i="15" a="1"/>
  <c r="D10" i="15" s="1"/>
  <c r="C10" i="15" a="1"/>
  <c r="C10" i="15" s="1"/>
  <c r="B10" i="15" a="1"/>
  <c r="B10" i="15" s="1"/>
  <c r="R9" i="15" a="1"/>
  <c r="R9" i="15" s="1"/>
  <c r="Q9" i="15" a="1"/>
  <c r="Q9" i="15" s="1"/>
  <c r="P9" i="15" a="1"/>
  <c r="P9" i="15" s="1"/>
  <c r="O9" i="15" a="1"/>
  <c r="O9" i="15" s="1"/>
  <c r="N9" i="15" a="1"/>
  <c r="N9" i="15" s="1"/>
  <c r="M9" i="15" a="1"/>
  <c r="M9" i="15" s="1"/>
  <c r="L9" i="15" a="1"/>
  <c r="L9" i="15" s="1"/>
  <c r="K9" i="15" a="1"/>
  <c r="K9" i="15" s="1"/>
  <c r="J9" i="15" a="1"/>
  <c r="J9" i="15" s="1"/>
  <c r="I9" i="15" a="1"/>
  <c r="I9" i="15" s="1"/>
  <c r="H9" i="15" a="1"/>
  <c r="H9" i="15" s="1"/>
  <c r="G9" i="15" a="1"/>
  <c r="G9" i="15" s="1"/>
  <c r="F9" i="15" a="1"/>
  <c r="F9" i="15" s="1"/>
  <c r="S9" i="15" s="1"/>
  <c r="E9" i="15" a="1"/>
  <c r="E9" i="15" s="1"/>
  <c r="D9" i="15" a="1"/>
  <c r="D9" i="15" s="1"/>
  <c r="C9" i="15" a="1"/>
  <c r="C9" i="15" s="1"/>
  <c r="B9" i="15" a="1"/>
  <c r="B9" i="15" s="1"/>
  <c r="R8" i="15" a="1"/>
  <c r="R8" i="15" s="1"/>
  <c r="Q8" i="15" a="1"/>
  <c r="Q8" i="15" s="1"/>
  <c r="P8" i="15" a="1"/>
  <c r="P8" i="15" s="1"/>
  <c r="O8" i="15" a="1"/>
  <c r="O8" i="15" s="1"/>
  <c r="N8" i="15" a="1"/>
  <c r="N8" i="15" s="1"/>
  <c r="M8" i="15" a="1"/>
  <c r="M8" i="15" s="1"/>
  <c r="L8" i="15" a="1"/>
  <c r="L8" i="15" s="1"/>
  <c r="K8" i="15" a="1"/>
  <c r="K8" i="15" s="1"/>
  <c r="J8" i="15" a="1"/>
  <c r="J8" i="15" s="1"/>
  <c r="I8" i="15" a="1"/>
  <c r="I8" i="15" s="1"/>
  <c r="H8" i="15" a="1"/>
  <c r="H8" i="15" s="1"/>
  <c r="G8" i="15" a="1"/>
  <c r="G8" i="15" s="1"/>
  <c r="F8" i="15" a="1"/>
  <c r="F8" i="15" s="1"/>
  <c r="S8" i="15" s="1"/>
  <c r="E8" i="15" a="1"/>
  <c r="E8" i="15" s="1"/>
  <c r="D8" i="15" a="1"/>
  <c r="D8" i="15" s="1"/>
  <c r="C8" i="15" a="1"/>
  <c r="C8" i="15" s="1"/>
  <c r="B8" i="15" a="1"/>
  <c r="B8" i="15" s="1"/>
  <c r="R7" i="15" a="1"/>
  <c r="R7" i="15" s="1"/>
  <c r="Q7" i="15" a="1"/>
  <c r="Q7" i="15" s="1"/>
  <c r="P7" i="15" a="1"/>
  <c r="P7" i="15" s="1"/>
  <c r="O7" i="15" a="1"/>
  <c r="O7" i="15" s="1"/>
  <c r="N7" i="15" a="1"/>
  <c r="N7" i="15" s="1"/>
  <c r="M7" i="15" a="1"/>
  <c r="M7" i="15" s="1"/>
  <c r="L7" i="15" a="1"/>
  <c r="L7" i="15" s="1"/>
  <c r="K7" i="15" a="1"/>
  <c r="K7" i="15" s="1"/>
  <c r="J7" i="15" a="1"/>
  <c r="J7" i="15" s="1"/>
  <c r="I7" i="15" a="1"/>
  <c r="I7" i="15" s="1"/>
  <c r="H7" i="15" a="1"/>
  <c r="H7" i="15" s="1"/>
  <c r="G7" i="15" a="1"/>
  <c r="G7" i="15" s="1"/>
  <c r="F7" i="15" a="1"/>
  <c r="F7" i="15" s="1"/>
  <c r="S7" i="15" s="1"/>
  <c r="E7" i="15" a="1"/>
  <c r="E7" i="15" s="1"/>
  <c r="D7" i="15" a="1"/>
  <c r="D7" i="15" s="1"/>
  <c r="C7" i="15" a="1"/>
  <c r="C7" i="15" s="1"/>
  <c r="B7" i="15" a="1"/>
  <c r="B7" i="15" s="1"/>
  <c r="R6" i="15" a="1"/>
  <c r="R6" i="15" s="1"/>
  <c r="Q6" i="15" a="1"/>
  <c r="Q6" i="15" s="1"/>
  <c r="P6" i="15" a="1"/>
  <c r="P6" i="15" s="1"/>
  <c r="O6" i="15" a="1"/>
  <c r="O6" i="15" s="1"/>
  <c r="N6" i="15" a="1"/>
  <c r="N6" i="15" s="1"/>
  <c r="M6" i="15" a="1"/>
  <c r="M6" i="15" s="1"/>
  <c r="L6" i="15" a="1"/>
  <c r="L6" i="15" s="1"/>
  <c r="K6" i="15" a="1"/>
  <c r="K6" i="15" s="1"/>
  <c r="J6" i="15" a="1"/>
  <c r="J6" i="15" s="1"/>
  <c r="I6" i="15" a="1"/>
  <c r="I6" i="15" s="1"/>
  <c r="H6" i="15" a="1"/>
  <c r="H6" i="15" s="1"/>
  <c r="G6" i="15" a="1"/>
  <c r="G6" i="15" s="1"/>
  <c r="F6" i="15" a="1"/>
  <c r="F6" i="15" s="1"/>
  <c r="S6" i="15" s="1"/>
  <c r="E6" i="15" a="1"/>
  <c r="E6" i="15" s="1"/>
  <c r="D6" i="15" a="1"/>
  <c r="D6" i="15" s="1"/>
  <c r="C6" i="15" a="1"/>
  <c r="C6" i="15" s="1"/>
  <c r="B6" i="15" a="1"/>
  <c r="B6" i="15" s="1"/>
  <c r="R5" i="15" a="1"/>
  <c r="R5" i="15" s="1"/>
  <c r="Q5" i="15" a="1"/>
  <c r="Q5" i="15" s="1"/>
  <c r="P5" i="15" a="1"/>
  <c r="P5" i="15" s="1"/>
  <c r="O5" i="15" a="1"/>
  <c r="O5" i="15" s="1"/>
  <c r="N5" i="15" a="1"/>
  <c r="N5" i="15" s="1"/>
  <c r="M5" i="15" a="1"/>
  <c r="M5" i="15" s="1"/>
  <c r="L5" i="15" a="1"/>
  <c r="L5" i="15" s="1"/>
  <c r="K5" i="15" a="1"/>
  <c r="K5" i="15" s="1"/>
  <c r="J5" i="15" a="1"/>
  <c r="J5" i="15" s="1"/>
  <c r="I5" i="15" a="1"/>
  <c r="I5" i="15" s="1"/>
  <c r="H5" i="15" a="1"/>
  <c r="H5" i="15" s="1"/>
  <c r="G5" i="15" a="1"/>
  <c r="G5" i="15" s="1"/>
  <c r="F5" i="15" a="1"/>
  <c r="F5" i="15" s="1"/>
  <c r="S5" i="15" s="1"/>
  <c r="E5" i="15" a="1"/>
  <c r="E5" i="15" s="1"/>
  <c r="D5" i="15" a="1"/>
  <c r="D5" i="15" s="1"/>
  <c r="C5" i="15" a="1"/>
  <c r="C5" i="15" s="1"/>
  <c r="B5" i="15" a="1"/>
  <c r="B5" i="15" s="1"/>
  <c r="R4" i="15" a="1"/>
  <c r="R4" i="15" s="1"/>
  <c r="Q4" i="15" a="1"/>
  <c r="Q4" i="15" s="1"/>
  <c r="P4" i="15" a="1"/>
  <c r="P4" i="15" s="1"/>
  <c r="O4" i="15" a="1"/>
  <c r="O4" i="15" s="1"/>
  <c r="N4" i="15" a="1"/>
  <c r="N4" i="15" s="1"/>
  <c r="M4" i="15" a="1"/>
  <c r="M4" i="15" s="1"/>
  <c r="L4" i="15" a="1"/>
  <c r="L4" i="15" s="1"/>
  <c r="K4" i="15" a="1"/>
  <c r="K4" i="15" s="1"/>
  <c r="J4" i="15" a="1"/>
  <c r="J4" i="15" s="1"/>
  <c r="I4" i="15" a="1"/>
  <c r="I4" i="15" s="1"/>
  <c r="H4" i="15" a="1"/>
  <c r="H4" i="15" s="1"/>
  <c r="G4" i="15" a="1"/>
  <c r="G4" i="15" s="1"/>
  <c r="F4" i="15" a="1"/>
  <c r="F4" i="15" s="1"/>
  <c r="S4" i="15" s="1"/>
  <c r="E4" i="15" a="1"/>
  <c r="E4" i="15" s="1"/>
  <c r="D4" i="15" a="1"/>
  <c r="D4" i="15" s="1"/>
  <c r="C4" i="15" a="1"/>
  <c r="C4" i="15" s="1"/>
  <c r="B4" i="15" a="1"/>
  <c r="B4" i="15" s="1"/>
  <c r="R3" i="15" a="1"/>
  <c r="R3" i="15" s="1"/>
  <c r="Q3" i="15" a="1"/>
  <c r="Q3" i="15" s="1"/>
  <c r="P3" i="15" a="1"/>
  <c r="P3" i="15" s="1"/>
  <c r="O3" i="15" a="1"/>
  <c r="O3" i="15" s="1"/>
  <c r="N3" i="15" a="1"/>
  <c r="N3" i="15" s="1"/>
  <c r="M3" i="15" a="1"/>
  <c r="M3" i="15" s="1"/>
  <c r="L3" i="15" a="1"/>
  <c r="L3" i="15" s="1"/>
  <c r="K3" i="15" a="1"/>
  <c r="K3" i="15" s="1"/>
  <c r="J3" i="15" a="1"/>
  <c r="J3" i="15" s="1"/>
  <c r="I3" i="15" a="1"/>
  <c r="I3" i="15" s="1"/>
  <c r="H3" i="15" a="1"/>
  <c r="H3" i="15" s="1"/>
  <c r="G3" i="15" a="1"/>
  <c r="G3" i="15" s="1"/>
  <c r="F3" i="15" a="1"/>
  <c r="F3" i="15" s="1"/>
  <c r="S3" i="15" s="1"/>
  <c r="E3" i="15" a="1"/>
  <c r="E3" i="15" s="1"/>
  <c r="D3" i="15" a="1"/>
  <c r="D3" i="15" s="1"/>
  <c r="C3" i="15" a="1"/>
  <c r="C3" i="15" s="1"/>
  <c r="B3" i="15" a="1"/>
  <c r="B3" i="15" s="1"/>
  <c r="T2" i="15" a="1"/>
  <c r="T2" i="15" s="1"/>
  <c r="R2" i="15" a="1"/>
  <c r="R2" i="15" s="1"/>
  <c r="Q2" i="15" a="1"/>
  <c r="Q2" i="15" s="1"/>
  <c r="P2" i="15" a="1"/>
  <c r="P2" i="15" s="1"/>
  <c r="O2" i="15" a="1"/>
  <c r="O2" i="15" s="1"/>
  <c r="N2" i="15" a="1"/>
  <c r="N2" i="15" s="1"/>
  <c r="M2" i="15" a="1"/>
  <c r="M2" i="15" s="1"/>
  <c r="L2" i="15" a="1"/>
  <c r="L2" i="15" s="1"/>
  <c r="K2" i="15" a="1"/>
  <c r="K2" i="15" s="1"/>
  <c r="J2" i="15" a="1"/>
  <c r="J2" i="15" s="1"/>
  <c r="I2" i="15" a="1"/>
  <c r="I2" i="15" s="1"/>
  <c r="H2" i="15" a="1"/>
  <c r="H2" i="15" s="1"/>
  <c r="G2" i="15" a="1"/>
  <c r="G2" i="15" s="1"/>
  <c r="F2" i="15" a="1"/>
  <c r="F2" i="15" s="1"/>
  <c r="S2" i="15" s="1"/>
  <c r="E2" i="15" a="1"/>
  <c r="E2" i="15" s="1"/>
  <c r="D2" i="15" a="1"/>
  <c r="D2" i="15" s="1"/>
  <c r="C2" i="15" a="1"/>
  <c r="C2" i="15" s="1"/>
  <c r="B2" i="15" a="1"/>
  <c r="B2" i="15" s="1"/>
  <c r="B2" i="9"/>
  <c r="A1" i="5" a="1"/>
  <c r="A1" i="5" s="1"/>
  <c r="X2" i="14"/>
  <c r="W2" i="14"/>
  <c r="Z2" i="14"/>
  <c r="S38" i="14"/>
  <c r="V38" i="14" s="1"/>
  <c r="S37" i="14"/>
  <c r="V37" i="14" s="1"/>
  <c r="S36" i="14"/>
  <c r="V36" i="14" s="1"/>
  <c r="S35" i="14"/>
  <c r="V35" i="14" s="1"/>
  <c r="S34" i="14"/>
  <c r="V34" i="14" s="1"/>
  <c r="S33" i="14"/>
  <c r="V33" i="14" s="1"/>
  <c r="S32" i="14"/>
  <c r="V32" i="14" s="1"/>
  <c r="S31" i="14"/>
  <c r="V31" i="14" s="1"/>
  <c r="S30" i="14"/>
  <c r="V30" i="14" s="1"/>
  <c r="S29" i="14"/>
  <c r="V29" i="14" s="1"/>
  <c r="S28" i="14"/>
  <c r="V28" i="14" s="1"/>
  <c r="S27" i="14"/>
  <c r="V27" i="14" s="1"/>
  <c r="S26" i="14"/>
  <c r="V26" i="14" s="1"/>
  <c r="S25" i="14"/>
  <c r="V25" i="14" s="1"/>
  <c r="S24" i="14"/>
  <c r="V24" i="14" s="1"/>
  <c r="S23" i="14"/>
  <c r="V23" i="14" s="1"/>
  <c r="S22" i="14"/>
  <c r="V22" i="14" s="1"/>
  <c r="S21" i="14"/>
  <c r="V21" i="14" s="1"/>
  <c r="S20" i="14"/>
  <c r="V20" i="14" s="1"/>
  <c r="S19" i="14"/>
  <c r="V19" i="14" s="1"/>
  <c r="S18" i="14"/>
  <c r="V18" i="14" s="1"/>
  <c r="S17" i="14"/>
  <c r="V17" i="14" s="1"/>
  <c r="S16" i="14"/>
  <c r="V16" i="14" s="1"/>
  <c r="S15" i="14"/>
  <c r="V15" i="14" s="1"/>
  <c r="S14" i="14"/>
  <c r="V14" i="14" s="1"/>
  <c r="S13" i="14"/>
  <c r="V13" i="14" s="1"/>
  <c r="S12" i="14"/>
  <c r="V12" i="14" s="1"/>
  <c r="S11" i="14"/>
  <c r="V11" i="14" s="1"/>
  <c r="S10" i="14"/>
  <c r="V10" i="14" s="1"/>
  <c r="S9" i="14"/>
  <c r="V9" i="14" s="1"/>
  <c r="S8" i="14"/>
  <c r="V8" i="14" s="1"/>
  <c r="S7" i="14"/>
  <c r="V7" i="14" s="1"/>
  <c r="S6" i="14"/>
  <c r="V6" i="14" s="1"/>
  <c r="S5" i="14"/>
  <c r="V5" i="14" s="1"/>
  <c r="S4" i="14"/>
  <c r="V4" i="14" s="1"/>
  <c r="S3" i="14"/>
  <c r="V3" i="14" s="1"/>
  <c r="U2" i="14" a="1"/>
  <c r="U2" i="14" s="1"/>
  <c r="T2" i="14"/>
  <c r="S2" i="14"/>
  <c r="V2" i="14" s="1"/>
  <c r="Y2" i="14" l="1"/>
  <c r="A2" i="5" s="1" a="1"/>
  <c r="CN4" i="11" a="1"/>
  <c r="CR3" i="11"/>
  <c r="CQ3" i="11"/>
  <c r="CP3" i="11"/>
  <c r="CO3" i="11"/>
  <c r="K2" i="11" a="1"/>
  <c r="L248" i="11" s="1"/>
  <c r="D2" i="9" l="1" a="1"/>
  <c r="D2" i="9" s="1"/>
  <c r="C2" i="9" a="1"/>
  <c r="C2" i="9" s="1"/>
  <c r="B10" i="6" a="1"/>
  <c r="B10" i="6" s="1"/>
  <c r="B18" i="6" a="1"/>
  <c r="B18" i="6" s="1"/>
  <c r="B3" i="6" a="1"/>
  <c r="B3" i="6" s="1"/>
  <c r="B11" i="6" a="1"/>
  <c r="B11" i="6" s="1"/>
  <c r="B19" i="6" a="1"/>
  <c r="B19" i="6" s="1"/>
  <c r="B4" i="6" a="1"/>
  <c r="B4" i="6" s="1"/>
  <c r="B12" i="6" a="1"/>
  <c r="B12" i="6" s="1"/>
  <c r="B5" i="6" a="1"/>
  <c r="B5" i="6" s="1"/>
  <c r="B13" i="6" a="1"/>
  <c r="B13" i="6" s="1"/>
  <c r="B6" i="6" a="1"/>
  <c r="B6" i="6" s="1"/>
  <c r="B14" i="6" a="1"/>
  <c r="B14" i="6" s="1"/>
  <c r="B7" i="6" a="1"/>
  <c r="B7" i="6" s="1"/>
  <c r="B15" i="6" a="1"/>
  <c r="B15" i="6" s="1"/>
  <c r="B8" i="6" a="1"/>
  <c r="B8" i="6" s="1"/>
  <c r="B16" i="6" a="1"/>
  <c r="B16" i="6" s="1"/>
  <c r="B9" i="6" a="1"/>
  <c r="B9" i="6" s="1"/>
  <c r="B17" i="6" a="1"/>
  <c r="B17" i="6" s="1"/>
  <c r="AD2" i="12" a="1"/>
  <c r="AD2" i="12" s="1"/>
  <c r="A2" i="5"/>
  <c r="CS3" i="11"/>
  <c r="CI248" i="11"/>
  <c r="CI249" i="11" s="1"/>
  <c r="BS248" i="11"/>
  <c r="BS249" i="11" s="1"/>
  <c r="BC248" i="11"/>
  <c r="BC249" i="11" s="1"/>
  <c r="AM248" i="11"/>
  <c r="AM249" i="11" s="1"/>
  <c r="W248" i="11"/>
  <c r="W249" i="11" s="1"/>
  <c r="CH248" i="11"/>
  <c r="CH249" i="11" s="1"/>
  <c r="BR248" i="11"/>
  <c r="BR249" i="11" s="1"/>
  <c r="BB248" i="11"/>
  <c r="BB249" i="11" s="1"/>
  <c r="AL248" i="11"/>
  <c r="AL249" i="11" s="1"/>
  <c r="V248" i="11"/>
  <c r="V249" i="11" s="1"/>
  <c r="CG248" i="11"/>
  <c r="CG249" i="11" s="1"/>
  <c r="BQ248" i="11"/>
  <c r="BQ249" i="11" s="1"/>
  <c r="BA248" i="11"/>
  <c r="BA249" i="11" s="1"/>
  <c r="AK248" i="11"/>
  <c r="AK249" i="11" s="1"/>
  <c r="U248" i="11"/>
  <c r="U249" i="11" s="1"/>
  <c r="CF248" i="11"/>
  <c r="CF249" i="11" s="1"/>
  <c r="BP248" i="11"/>
  <c r="BP249" i="11" s="1"/>
  <c r="AZ248" i="11"/>
  <c r="AZ249" i="11" s="1"/>
  <c r="AJ248" i="11"/>
  <c r="AJ249" i="11" s="1"/>
  <c r="T248" i="11"/>
  <c r="T249" i="11" s="1"/>
  <c r="CE248" i="11"/>
  <c r="CE249" i="11" s="1"/>
  <c r="BO248" i="11"/>
  <c r="BO249" i="11" s="1"/>
  <c r="AY248" i="11"/>
  <c r="AY249" i="11" s="1"/>
  <c r="AI248" i="11"/>
  <c r="AI249" i="11" s="1"/>
  <c r="S248" i="11"/>
  <c r="S249" i="11" s="1"/>
  <c r="CD248" i="11"/>
  <c r="CD249" i="11" s="1"/>
  <c r="BN248" i="11"/>
  <c r="BN249" i="11" s="1"/>
  <c r="AX248" i="11"/>
  <c r="AX249" i="11" s="1"/>
  <c r="AH248" i="11"/>
  <c r="AH249" i="11" s="1"/>
  <c r="R248" i="11"/>
  <c r="R249" i="11" s="1"/>
  <c r="CC248" i="11"/>
  <c r="CC249" i="11" s="1"/>
  <c r="BM248" i="11"/>
  <c r="BM249" i="11" s="1"/>
  <c r="AW248" i="11"/>
  <c r="AW249" i="11" s="1"/>
  <c r="AG248" i="11"/>
  <c r="AG249" i="11" s="1"/>
  <c r="Q248" i="11"/>
  <c r="Q249" i="11" s="1"/>
  <c r="CB248" i="11"/>
  <c r="CB249" i="11" s="1"/>
  <c r="BL248" i="11"/>
  <c r="BL249" i="11" s="1"/>
  <c r="AV248" i="11"/>
  <c r="AV249" i="11" s="1"/>
  <c r="AF248" i="11"/>
  <c r="AF249" i="11" s="1"/>
  <c r="P248" i="11"/>
  <c r="P249" i="11" s="1"/>
  <c r="CA248" i="11"/>
  <c r="CA249" i="11" s="1"/>
  <c r="BK248" i="11"/>
  <c r="BK249" i="11" s="1"/>
  <c r="AU248" i="11"/>
  <c r="AU249" i="11" s="1"/>
  <c r="AE248" i="11"/>
  <c r="AE249" i="11" s="1"/>
  <c r="O248" i="11"/>
  <c r="O249" i="11" s="1"/>
  <c r="BV248" i="11"/>
  <c r="BV249" i="11" s="1"/>
  <c r="AN248" i="11"/>
  <c r="AN249" i="11" s="1"/>
  <c r="BU248" i="11"/>
  <c r="BU249" i="11" s="1"/>
  <c r="AD248" i="11"/>
  <c r="AD249" i="11" s="1"/>
  <c r="BT248" i="11"/>
  <c r="BT249" i="11" s="1"/>
  <c r="AC248" i="11"/>
  <c r="AC249" i="11" s="1"/>
  <c r="BJ248" i="11"/>
  <c r="BJ249" i="11" s="1"/>
  <c r="AB248" i="11"/>
  <c r="AB249" i="11" s="1"/>
  <c r="BI248" i="11"/>
  <c r="BI249" i="11" s="1"/>
  <c r="AA248" i="11"/>
  <c r="AA249" i="11" s="1"/>
  <c r="BH248" i="11"/>
  <c r="BH249" i="11" s="1"/>
  <c r="Z248" i="11"/>
  <c r="Z249" i="11" s="1"/>
  <c r="BG248" i="11"/>
  <c r="BG249" i="11" s="1"/>
  <c r="Y248" i="11"/>
  <c r="Y249" i="11" s="1"/>
  <c r="BF248" i="11"/>
  <c r="BF249" i="11" s="1"/>
  <c r="X248" i="11"/>
  <c r="X249" i="11" s="1"/>
  <c r="BE248" i="11"/>
  <c r="BE249" i="11" s="1"/>
  <c r="N248" i="11"/>
  <c r="N249" i="11" s="1"/>
  <c r="CJ248" i="11"/>
  <c r="CJ249" i="11" s="1"/>
  <c r="BZ248" i="11"/>
  <c r="BZ249" i="11" s="1"/>
  <c r="BY248" i="11"/>
  <c r="BY249" i="11" s="1"/>
  <c r="BX248" i="11"/>
  <c r="BX249" i="11" s="1"/>
  <c r="BW248" i="11"/>
  <c r="BW249" i="11" s="1"/>
  <c r="BD248" i="11"/>
  <c r="BD249" i="11" s="1"/>
  <c r="AT248" i="11"/>
  <c r="AT249" i="11" s="1"/>
  <c r="AS248" i="11"/>
  <c r="AS249" i="11" s="1"/>
  <c r="CK248" i="11"/>
  <c r="CK249" i="11" s="1"/>
  <c r="AR248" i="11"/>
  <c r="AR249" i="11" s="1"/>
  <c r="AQ248" i="11"/>
  <c r="AQ249" i="11" s="1"/>
  <c r="AP248" i="11"/>
  <c r="AP249" i="11" s="1"/>
  <c r="M248" i="11"/>
  <c r="M249" i="11" s="1"/>
  <c r="AO248" i="11"/>
  <c r="AO249" i="11" s="1"/>
  <c r="L249" i="11"/>
  <c r="K2" i="11"/>
  <c r="CN4" i="11"/>
  <c r="CO4" i="11" s="1" a="1"/>
  <c r="AE2" i="10" l="1" a="1"/>
  <c r="AE2" i="10" s="1"/>
  <c r="B2" i="6" a="1"/>
  <c r="B2" i="6" s="1"/>
  <c r="Q250" i="11"/>
  <c r="Q251" i="11" s="1"/>
  <c r="AW250" i="11"/>
  <c r="AW251" i="11" s="1"/>
  <c r="BP250" i="11"/>
  <c r="BP251" i="11" s="1"/>
  <c r="AC250" i="11"/>
  <c r="AC251" i="11" s="1"/>
  <c r="AJ250" i="11"/>
  <c r="AJ251" i="11" s="1"/>
  <c r="BC250" i="11"/>
  <c r="BC251" i="11" s="1"/>
  <c r="AB250" i="11"/>
  <c r="AB251" i="11" s="1"/>
  <c r="BJ250" i="11"/>
  <c r="BJ251" i="11" s="1"/>
  <c r="AD250" i="11"/>
  <c r="AD251" i="11" s="1"/>
  <c r="BD250" i="11"/>
  <c r="BD251" i="11" s="1"/>
  <c r="BI250" i="11"/>
  <c r="BI251" i="11" s="1"/>
  <c r="CI250" i="11"/>
  <c r="CI251" i="11" s="1"/>
  <c r="BM250" i="11"/>
  <c r="BM251" i="11" s="1"/>
  <c r="CF250" i="11"/>
  <c r="CF251" i="11" s="1"/>
  <c r="AT250" i="11"/>
  <c r="AT251" i="11" s="1"/>
  <c r="AQ250" i="11"/>
  <c r="AQ251" i="11" s="1"/>
  <c r="Z250" i="11"/>
  <c r="Z251" i="11" s="1"/>
  <c r="AG250" i="11"/>
  <c r="AG251" i="11" s="1"/>
  <c r="AZ250" i="11"/>
  <c r="AZ251" i="11" s="1"/>
  <c r="BH250" i="11"/>
  <c r="BH251" i="11" s="1"/>
  <c r="BY250" i="11"/>
  <c r="BY251" i="11" s="1"/>
  <c r="BS250" i="11"/>
  <c r="BS251" i="11" s="1"/>
  <c r="CC250" i="11"/>
  <c r="CC251" i="11" s="1"/>
  <c r="AK250" i="11"/>
  <c r="AK251" i="11" s="1"/>
  <c r="R250" i="11"/>
  <c r="R251" i="11" s="1"/>
  <c r="U250" i="11"/>
  <c r="U251" i="11" s="1"/>
  <c r="AN250" i="11"/>
  <c r="AN251" i="11" s="1"/>
  <c r="AV250" i="11"/>
  <c r="AV251" i="11" s="1"/>
  <c r="BT250" i="11"/>
  <c r="BT251" i="11" s="1"/>
  <c r="CJ250" i="11"/>
  <c r="CJ251" i="11" s="1"/>
  <c r="BZ250" i="11"/>
  <c r="BZ251" i="11" s="1"/>
  <c r="AR250" i="11"/>
  <c r="AR251" i="11" s="1"/>
  <c r="BU250" i="11"/>
  <c r="BU251" i="11" s="1"/>
  <c r="AS250" i="11"/>
  <c r="AS251" i="11" s="1"/>
  <c r="BE250" i="11"/>
  <c r="BE251" i="11" s="1"/>
  <c r="BV250" i="11"/>
  <c r="BV251" i="11" s="1"/>
  <c r="X250" i="11"/>
  <c r="X251" i="11" s="1"/>
  <c r="BA250" i="11"/>
  <c r="BA251" i="11" s="1"/>
  <c r="BN250" i="11"/>
  <c r="BN251" i="11" s="1"/>
  <c r="CG250" i="11"/>
  <c r="CG251" i="11" s="1"/>
  <c r="Y250" i="11"/>
  <c r="Y251" i="11" s="1"/>
  <c r="BF250" i="11"/>
  <c r="BF251" i="11" s="1"/>
  <c r="BL250" i="11"/>
  <c r="BL251" i="11" s="1"/>
  <c r="CD250" i="11"/>
  <c r="CD251" i="11" s="1"/>
  <c r="V250" i="11"/>
  <c r="V251" i="11" s="1"/>
  <c r="AO250" i="11"/>
  <c r="AO251" i="11" s="1"/>
  <c r="BK250" i="11"/>
  <c r="BK251" i="11" s="1"/>
  <c r="AL250" i="11"/>
  <c r="AL251" i="11" s="1"/>
  <c r="AA250" i="11"/>
  <c r="AA251" i="11" s="1"/>
  <c r="AH250" i="11"/>
  <c r="AH251" i="11" s="1"/>
  <c r="AX250" i="11"/>
  <c r="AX251" i="11" s="1"/>
  <c r="S250" i="11"/>
  <c r="S251" i="11" s="1"/>
  <c r="AI250" i="11"/>
  <c r="AI251" i="11" s="1"/>
  <c r="CB250" i="11"/>
  <c r="CB251" i="11" s="1"/>
  <c r="AF250" i="11"/>
  <c r="AF251" i="11" s="1"/>
  <c r="AY250" i="11"/>
  <c r="AY251" i="11" s="1"/>
  <c r="BR250" i="11"/>
  <c r="BR251" i="11" s="1"/>
  <c r="CK250" i="11"/>
  <c r="CK251" i="11" s="1"/>
  <c r="AU250" i="11"/>
  <c r="AU251" i="11" s="1"/>
  <c r="BB250" i="11"/>
  <c r="BB251" i="11" s="1"/>
  <c r="BO250" i="11"/>
  <c r="BO251" i="11" s="1"/>
  <c r="CH250" i="11"/>
  <c r="CH251" i="11" s="1"/>
  <c r="O250" i="11"/>
  <c r="O251" i="11" s="1"/>
  <c r="BQ250" i="11"/>
  <c r="BQ251" i="11" s="1"/>
  <c r="AE250" i="11"/>
  <c r="AE251" i="11" s="1"/>
  <c r="CA250" i="11"/>
  <c r="CA251" i="11" s="1"/>
  <c r="BW250" i="11"/>
  <c r="BW251" i="11" s="1"/>
  <c r="P250" i="11"/>
  <c r="P251" i="11" s="1"/>
  <c r="AP250" i="11"/>
  <c r="AP251" i="11" s="1"/>
  <c r="CE250" i="11"/>
  <c r="CE251" i="11" s="1"/>
  <c r="W250" i="11"/>
  <c r="W251" i="11" s="1"/>
  <c r="N250" i="11"/>
  <c r="N251" i="11" s="1"/>
  <c r="BG250" i="11"/>
  <c r="BG251" i="11" s="1"/>
  <c r="BX250" i="11"/>
  <c r="BX251" i="11" s="1"/>
  <c r="T250" i="11"/>
  <c r="T251" i="11" s="1"/>
  <c r="AM250" i="11"/>
  <c r="AM251" i="11" s="1"/>
  <c r="CQ4" i="11" a="1"/>
  <c r="CQ4" i="11" s="1"/>
  <c r="CP4" i="11" a="1"/>
  <c r="CR4" i="11" a="1"/>
  <c r="CR4" i="11" s="1"/>
  <c r="CO4" i="11"/>
  <c r="B1" i="10" a="1"/>
  <c r="CS6" i="11" l="1"/>
  <c r="CS22" i="11"/>
  <c r="CS38" i="11"/>
  <c r="CS54" i="11"/>
  <c r="CS70" i="11"/>
  <c r="CS86" i="11"/>
  <c r="CS102" i="11"/>
  <c r="CS118" i="11"/>
  <c r="CS134" i="11"/>
  <c r="CS150" i="11"/>
  <c r="CS166" i="11"/>
  <c r="CS182" i="11"/>
  <c r="CS198" i="11"/>
  <c r="CS214" i="11"/>
  <c r="CS230" i="11"/>
  <c r="CS246" i="11"/>
  <c r="CS262" i="11"/>
  <c r="CS278" i="11"/>
  <c r="CS294" i="11"/>
  <c r="CS310" i="11"/>
  <c r="CS326" i="11"/>
  <c r="CS342" i="11"/>
  <c r="CS358" i="11"/>
  <c r="CS374" i="11"/>
  <c r="CS390" i="11"/>
  <c r="CS406" i="11"/>
  <c r="CS422" i="11"/>
  <c r="CS438" i="11"/>
  <c r="CS454" i="11"/>
  <c r="CS470" i="11"/>
  <c r="CS486" i="11"/>
  <c r="CS502" i="11"/>
  <c r="CS223" i="11"/>
  <c r="CS112" i="11"/>
  <c r="CS384" i="11"/>
  <c r="CS145" i="11"/>
  <c r="CS497" i="11"/>
  <c r="CS68" i="11"/>
  <c r="CS196" i="11"/>
  <c r="CS260" i="11"/>
  <c r="CS356" i="11"/>
  <c r="CS436" i="11"/>
  <c r="CS7" i="11"/>
  <c r="CS23" i="11"/>
  <c r="CS39" i="11"/>
  <c r="CS55" i="11"/>
  <c r="CS71" i="11"/>
  <c r="CS87" i="11"/>
  <c r="CS103" i="11"/>
  <c r="CS119" i="11"/>
  <c r="CS135" i="11"/>
  <c r="CS151" i="11"/>
  <c r="CS167" i="11"/>
  <c r="CS183" i="11"/>
  <c r="CS199" i="11"/>
  <c r="CS215" i="11"/>
  <c r="CS231" i="11"/>
  <c r="CS247" i="11"/>
  <c r="CS263" i="11"/>
  <c r="CS279" i="11"/>
  <c r="CS295" i="11"/>
  <c r="CS311" i="11"/>
  <c r="CS327" i="11"/>
  <c r="CS343" i="11"/>
  <c r="CS359" i="11"/>
  <c r="CS375" i="11"/>
  <c r="CS391" i="11"/>
  <c r="CS407" i="11"/>
  <c r="CS423" i="11"/>
  <c r="CS439" i="11"/>
  <c r="CS455" i="11"/>
  <c r="CS471" i="11"/>
  <c r="CS487" i="11"/>
  <c r="CS503" i="11"/>
  <c r="CS287" i="11"/>
  <c r="CS48" i="11"/>
  <c r="CS304" i="11"/>
  <c r="CS464" i="11"/>
  <c r="CS65" i="11"/>
  <c r="CS385" i="11"/>
  <c r="CS148" i="11"/>
  <c r="CS8" i="11"/>
  <c r="CS24" i="11"/>
  <c r="CS40" i="11"/>
  <c r="CS56" i="11"/>
  <c r="CS72" i="11"/>
  <c r="CS88" i="11"/>
  <c r="CS104" i="11"/>
  <c r="CS120" i="11"/>
  <c r="CS136" i="11"/>
  <c r="CS152" i="11"/>
  <c r="CS168" i="11"/>
  <c r="CS184" i="11"/>
  <c r="CS200" i="11"/>
  <c r="CS216" i="11"/>
  <c r="CS232" i="11"/>
  <c r="CS248" i="11"/>
  <c r="CS264" i="11"/>
  <c r="CS280" i="11"/>
  <c r="CS296" i="11"/>
  <c r="CS312" i="11"/>
  <c r="CS328" i="11"/>
  <c r="CS344" i="11"/>
  <c r="CS360" i="11"/>
  <c r="CS376" i="11"/>
  <c r="CS392" i="11"/>
  <c r="CS408" i="11"/>
  <c r="CS424" i="11"/>
  <c r="CS440" i="11"/>
  <c r="CS456" i="11"/>
  <c r="CS472" i="11"/>
  <c r="CS488" i="11"/>
  <c r="CS415" i="11"/>
  <c r="CS144" i="11"/>
  <c r="CS49" i="11"/>
  <c r="CS289" i="11"/>
  <c r="CS433" i="11"/>
  <c r="CS20" i="11"/>
  <c r="CS340" i="11"/>
  <c r="CS9" i="11"/>
  <c r="CS25" i="11"/>
  <c r="CS41" i="11"/>
  <c r="CS57" i="11"/>
  <c r="CS73" i="11"/>
  <c r="CS89" i="11"/>
  <c r="CS105" i="11"/>
  <c r="CS121" i="11"/>
  <c r="CS137" i="11"/>
  <c r="CS153" i="11"/>
  <c r="CS169" i="11"/>
  <c r="CS185" i="11"/>
  <c r="CS201" i="11"/>
  <c r="CS217" i="11"/>
  <c r="CS233" i="11"/>
  <c r="CS249" i="11"/>
  <c r="CS265" i="11"/>
  <c r="CS281" i="11"/>
  <c r="CS297" i="11"/>
  <c r="CS313" i="11"/>
  <c r="CS329" i="11"/>
  <c r="CS345" i="11"/>
  <c r="CS361" i="11"/>
  <c r="CS377" i="11"/>
  <c r="CS393" i="11"/>
  <c r="CS409" i="11"/>
  <c r="CS425" i="11"/>
  <c r="CS441" i="11"/>
  <c r="CS457" i="11"/>
  <c r="CS473" i="11"/>
  <c r="CS489" i="11"/>
  <c r="CS447" i="11"/>
  <c r="CS128" i="11"/>
  <c r="CS113" i="11"/>
  <c r="CS257" i="11"/>
  <c r="CS353" i="11"/>
  <c r="CS417" i="11"/>
  <c r="CS52" i="11"/>
  <c r="CS276" i="11"/>
  <c r="CS420" i="11"/>
  <c r="CS10" i="11"/>
  <c r="CS26" i="11"/>
  <c r="CS42" i="11"/>
  <c r="CS58" i="11"/>
  <c r="CS74" i="11"/>
  <c r="CS90" i="11"/>
  <c r="CS106" i="11"/>
  <c r="CS122" i="11"/>
  <c r="CS138" i="11"/>
  <c r="CS154" i="11"/>
  <c r="CS170" i="11"/>
  <c r="CS186" i="11"/>
  <c r="CS202" i="11"/>
  <c r="CS218" i="11"/>
  <c r="CS234" i="11"/>
  <c r="CS250" i="11"/>
  <c r="CS266" i="11"/>
  <c r="CS282" i="11"/>
  <c r="CS298" i="11"/>
  <c r="CS314" i="11"/>
  <c r="CS330" i="11"/>
  <c r="CS346" i="11"/>
  <c r="CS362" i="11"/>
  <c r="CS378" i="11"/>
  <c r="CS394" i="11"/>
  <c r="CS410" i="11"/>
  <c r="CS426" i="11"/>
  <c r="CS442" i="11"/>
  <c r="CS458" i="11"/>
  <c r="CS474" i="11"/>
  <c r="CS490" i="11"/>
  <c r="CS335" i="11"/>
  <c r="CS80" i="11"/>
  <c r="CS240" i="11"/>
  <c r="CS336" i="11"/>
  <c r="CS432" i="11"/>
  <c r="CS129" i="11"/>
  <c r="CS116" i="11"/>
  <c r="CS244" i="11"/>
  <c r="CS372" i="11"/>
  <c r="CS484" i="11"/>
  <c r="CS11" i="11"/>
  <c r="CS27" i="11"/>
  <c r="CS43" i="11"/>
  <c r="CS59" i="11"/>
  <c r="CS75" i="11"/>
  <c r="CS91" i="11"/>
  <c r="CS107" i="11"/>
  <c r="CS123" i="11"/>
  <c r="CS139" i="11"/>
  <c r="CS155" i="11"/>
  <c r="CS171" i="11"/>
  <c r="CS187" i="11"/>
  <c r="CS203" i="11"/>
  <c r="CS219" i="11"/>
  <c r="CS235" i="11"/>
  <c r="CS251" i="11"/>
  <c r="CS267" i="11"/>
  <c r="CS283" i="11"/>
  <c r="CS299" i="11"/>
  <c r="CS315" i="11"/>
  <c r="CS331" i="11"/>
  <c r="CS347" i="11"/>
  <c r="CS363" i="11"/>
  <c r="CS379" i="11"/>
  <c r="CS395" i="11"/>
  <c r="CS411" i="11"/>
  <c r="CS427" i="11"/>
  <c r="CS443" i="11"/>
  <c r="CS459" i="11"/>
  <c r="CS475" i="11"/>
  <c r="CS491" i="11"/>
  <c r="CS399" i="11"/>
  <c r="CS32" i="11"/>
  <c r="CS176" i="11"/>
  <c r="CS208" i="11"/>
  <c r="CS256" i="11"/>
  <c r="CS320" i="11"/>
  <c r="CS416" i="11"/>
  <c r="CS480" i="11"/>
  <c r="CS17" i="11"/>
  <c r="CS161" i="11"/>
  <c r="CS193" i="11"/>
  <c r="CS225" i="11"/>
  <c r="CS273" i="11"/>
  <c r="CS369" i="11"/>
  <c r="CS481" i="11"/>
  <c r="CS132" i="11"/>
  <c r="CS404" i="11"/>
  <c r="CS12" i="11"/>
  <c r="CS28" i="11"/>
  <c r="CS44" i="11"/>
  <c r="CS60" i="11"/>
  <c r="CS76" i="11"/>
  <c r="CS92" i="11"/>
  <c r="CS108" i="11"/>
  <c r="CS124" i="11"/>
  <c r="CS140" i="11"/>
  <c r="CS156" i="11"/>
  <c r="CS172" i="11"/>
  <c r="CS188" i="11"/>
  <c r="CS204" i="11"/>
  <c r="CS220" i="11"/>
  <c r="CS236" i="11"/>
  <c r="CS252" i="11"/>
  <c r="CS268" i="11"/>
  <c r="CS284" i="11"/>
  <c r="CS300" i="11"/>
  <c r="CS316" i="11"/>
  <c r="CS332" i="11"/>
  <c r="CS348" i="11"/>
  <c r="CS364" i="11"/>
  <c r="CS380" i="11"/>
  <c r="CS396" i="11"/>
  <c r="CS412" i="11"/>
  <c r="CS428" i="11"/>
  <c r="CS444" i="11"/>
  <c r="CS460" i="11"/>
  <c r="CS476" i="11"/>
  <c r="CS492" i="11"/>
  <c r="CS271" i="11"/>
  <c r="CS64" i="11"/>
  <c r="CS272" i="11"/>
  <c r="CS368" i="11"/>
  <c r="CS496" i="11"/>
  <c r="CS97" i="11"/>
  <c r="CS321" i="11"/>
  <c r="CS465" i="11"/>
  <c r="CS13" i="11"/>
  <c r="CS29" i="11"/>
  <c r="CS45" i="11"/>
  <c r="CS61" i="11"/>
  <c r="CS77" i="11"/>
  <c r="CS93" i="11"/>
  <c r="CS109" i="11"/>
  <c r="CS125" i="11"/>
  <c r="CS141" i="11"/>
  <c r="CS157" i="11"/>
  <c r="CS173" i="11"/>
  <c r="CS189" i="11"/>
  <c r="CS205" i="11"/>
  <c r="CS221" i="11"/>
  <c r="CS237" i="11"/>
  <c r="CS253" i="11"/>
  <c r="CS269" i="11"/>
  <c r="CS285" i="11"/>
  <c r="CS301" i="11"/>
  <c r="CS317" i="11"/>
  <c r="CS333" i="11"/>
  <c r="CS349" i="11"/>
  <c r="CS365" i="11"/>
  <c r="CS381" i="11"/>
  <c r="CS397" i="11"/>
  <c r="CS413" i="11"/>
  <c r="CS429" i="11"/>
  <c r="CS445" i="11"/>
  <c r="CS461" i="11"/>
  <c r="CS477" i="11"/>
  <c r="CS493" i="11"/>
  <c r="CS127" i="11"/>
  <c r="CS16" i="11"/>
  <c r="CS160" i="11"/>
  <c r="CS192" i="11"/>
  <c r="CS224" i="11"/>
  <c r="CS288" i="11"/>
  <c r="CS352" i="11"/>
  <c r="CS448" i="11"/>
  <c r="CS33" i="11"/>
  <c r="CS177" i="11"/>
  <c r="CS209" i="11"/>
  <c r="CS241" i="11"/>
  <c r="CS305" i="11"/>
  <c r="CS401" i="11"/>
  <c r="CS84" i="11"/>
  <c r="CS308" i="11"/>
  <c r="CS468" i="11"/>
  <c r="CS14" i="11"/>
  <c r="CS30" i="11"/>
  <c r="CS46" i="11"/>
  <c r="CS62" i="11"/>
  <c r="CS78" i="11"/>
  <c r="CS94" i="11"/>
  <c r="CS110" i="11"/>
  <c r="CS126" i="11"/>
  <c r="CS142" i="11"/>
  <c r="CS158" i="11"/>
  <c r="CS174" i="11"/>
  <c r="CS190" i="11"/>
  <c r="CS206" i="11"/>
  <c r="CS222" i="11"/>
  <c r="CS238" i="11"/>
  <c r="CS254" i="11"/>
  <c r="CS270" i="11"/>
  <c r="CS286" i="11"/>
  <c r="CS302" i="11"/>
  <c r="CS318" i="11"/>
  <c r="CS334" i="11"/>
  <c r="CS350" i="11"/>
  <c r="CS366" i="11"/>
  <c r="CS382" i="11"/>
  <c r="CS398" i="11"/>
  <c r="CS414" i="11"/>
  <c r="CS430" i="11"/>
  <c r="CS446" i="11"/>
  <c r="CS462" i="11"/>
  <c r="CS478" i="11"/>
  <c r="CS494" i="11"/>
  <c r="CS15" i="11"/>
  <c r="CS31" i="11"/>
  <c r="CS47" i="11"/>
  <c r="CS63" i="11"/>
  <c r="CS79" i="11"/>
  <c r="CS95" i="11"/>
  <c r="CS111" i="11"/>
  <c r="CS143" i="11"/>
  <c r="CS159" i="11"/>
  <c r="CS175" i="11"/>
  <c r="CS191" i="11"/>
  <c r="CS207" i="11"/>
  <c r="CS239" i="11"/>
  <c r="CS255" i="11"/>
  <c r="CS303" i="11"/>
  <c r="CS319" i="11"/>
  <c r="CS351" i="11"/>
  <c r="CS367" i="11"/>
  <c r="CS383" i="11"/>
  <c r="CS431" i="11"/>
  <c r="CS463" i="11"/>
  <c r="CS479" i="11"/>
  <c r="CS495" i="11"/>
  <c r="CS96" i="11"/>
  <c r="CS400" i="11"/>
  <c r="CS81" i="11"/>
  <c r="CS337" i="11"/>
  <c r="CS449" i="11"/>
  <c r="CS100" i="11"/>
  <c r="CS228" i="11"/>
  <c r="CS324" i="11"/>
  <c r="CS452" i="11"/>
  <c r="CS18" i="11"/>
  <c r="CS34" i="11"/>
  <c r="CS50" i="11"/>
  <c r="CS66" i="11"/>
  <c r="CS82" i="11"/>
  <c r="CS98" i="11"/>
  <c r="CS114" i="11"/>
  <c r="CS130" i="11"/>
  <c r="CS146" i="11"/>
  <c r="CS162" i="11"/>
  <c r="CS178" i="11"/>
  <c r="CS194" i="11"/>
  <c r="CS210" i="11"/>
  <c r="CS226" i="11"/>
  <c r="CS242" i="11"/>
  <c r="CS258" i="11"/>
  <c r="CS274" i="11"/>
  <c r="CS290" i="11"/>
  <c r="CS306" i="11"/>
  <c r="CS322" i="11"/>
  <c r="CS338" i="11"/>
  <c r="CS354" i="11"/>
  <c r="CS370" i="11"/>
  <c r="CS386" i="11"/>
  <c r="CS402" i="11"/>
  <c r="CS418" i="11"/>
  <c r="CS434" i="11"/>
  <c r="CS450" i="11"/>
  <c r="CS466" i="11"/>
  <c r="CS482" i="11"/>
  <c r="CS498" i="11"/>
  <c r="CS19" i="11"/>
  <c r="CS35" i="11"/>
  <c r="CS51" i="11"/>
  <c r="CS67" i="11"/>
  <c r="CS83" i="11"/>
  <c r="CS99" i="11"/>
  <c r="CS115" i="11"/>
  <c r="CS131" i="11"/>
  <c r="CS147" i="11"/>
  <c r="CS163" i="11"/>
  <c r="CS179" i="11"/>
  <c r="CS195" i="11"/>
  <c r="CS211" i="11"/>
  <c r="CS227" i="11"/>
  <c r="CS243" i="11"/>
  <c r="CS259" i="11"/>
  <c r="CS275" i="11"/>
  <c r="CS291" i="11"/>
  <c r="CS307" i="11"/>
  <c r="CS323" i="11"/>
  <c r="CS339" i="11"/>
  <c r="CS355" i="11"/>
  <c r="CS371" i="11"/>
  <c r="CS387" i="11"/>
  <c r="CS403" i="11"/>
  <c r="CS419" i="11"/>
  <c r="CS435" i="11"/>
  <c r="CS451" i="11"/>
  <c r="CS467" i="11"/>
  <c r="CS483" i="11"/>
  <c r="CS499" i="11"/>
  <c r="CS36" i="11"/>
  <c r="CS180" i="11"/>
  <c r="CS212" i="11"/>
  <c r="CS292" i="11"/>
  <c r="CS388" i="11"/>
  <c r="CS21" i="11"/>
  <c r="CS261" i="11"/>
  <c r="CS501" i="11"/>
  <c r="CS37" i="11"/>
  <c r="CS277" i="11"/>
  <c r="CS53" i="11"/>
  <c r="CS293" i="11"/>
  <c r="CS69" i="11"/>
  <c r="CS309" i="11"/>
  <c r="CS85" i="11"/>
  <c r="CS325" i="11"/>
  <c r="CS101" i="11"/>
  <c r="CS341" i="11"/>
  <c r="CS117" i="11"/>
  <c r="CS357" i="11"/>
  <c r="CS133" i="11"/>
  <c r="CS373" i="11"/>
  <c r="CS149" i="11"/>
  <c r="CS389" i="11"/>
  <c r="CS164" i="11"/>
  <c r="CS405" i="11"/>
  <c r="CS165" i="11"/>
  <c r="CS421" i="11"/>
  <c r="CS181" i="11"/>
  <c r="CS437" i="11"/>
  <c r="CS197" i="11"/>
  <c r="CS453" i="11"/>
  <c r="CS213" i="11"/>
  <c r="CS469" i="11"/>
  <c r="CS229" i="11"/>
  <c r="CS485" i="11"/>
  <c r="CS245" i="11"/>
  <c r="CS500" i="11"/>
  <c r="AX333" i="11"/>
  <c r="AX312" i="11"/>
  <c r="AX294" i="11"/>
  <c r="AX316" i="11"/>
  <c r="AX313" i="11"/>
  <c r="AX262" i="11"/>
  <c r="AX323" i="11"/>
  <c r="AX305" i="11"/>
  <c r="AX276" i="11"/>
  <c r="AX284" i="11"/>
  <c r="AX300" i="11"/>
  <c r="AX297" i="11"/>
  <c r="AX325" i="11"/>
  <c r="AX307" i="11"/>
  <c r="AX289" i="11"/>
  <c r="AX292" i="11"/>
  <c r="AX266" i="11"/>
  <c r="AX310" i="11"/>
  <c r="AX270" i="11"/>
  <c r="AX329" i="11"/>
  <c r="AX291" i="11"/>
  <c r="AX259" i="11"/>
  <c r="AX271" i="11"/>
  <c r="AX269" i="11"/>
  <c r="AX332" i="11"/>
  <c r="AX273" i="11"/>
  <c r="AX283" i="11"/>
  <c r="AX261" i="11"/>
  <c r="AX296" i="11"/>
  <c r="AX282" i="11"/>
  <c r="AX326" i="11"/>
  <c r="AX302" i="11"/>
  <c r="AX328" i="11"/>
  <c r="AX321" i="11"/>
  <c r="AX309" i="11"/>
  <c r="AX293" i="11"/>
  <c r="AX277" i="11"/>
  <c r="AX334" i="11"/>
  <c r="AX280" i="11"/>
  <c r="AX287" i="11"/>
  <c r="AX267" i="11"/>
  <c r="AX327" i="11"/>
  <c r="AX303" i="11"/>
  <c r="AX318" i="11"/>
  <c r="AX320" i="11"/>
  <c r="AX264" i="11"/>
  <c r="AX281" i="11"/>
  <c r="AX315" i="11"/>
  <c r="AX319" i="11"/>
  <c r="AX299" i="11"/>
  <c r="AX268" i="11"/>
  <c r="AX311" i="11"/>
  <c r="AX286" i="11"/>
  <c r="AX304" i="11"/>
  <c r="AX330" i="11"/>
  <c r="AX295" i="11"/>
  <c r="AX301" i="11"/>
  <c r="AX322" i="11"/>
  <c r="AX288" i="11"/>
  <c r="AX274" i="11"/>
  <c r="AX314" i="11"/>
  <c r="AX279" i="11"/>
  <c r="AX324" i="11"/>
  <c r="AX306" i="11"/>
  <c r="AX272" i="11"/>
  <c r="AX260" i="11"/>
  <c r="AX278" i="11"/>
  <c r="AX331" i="11"/>
  <c r="AX265" i="11"/>
  <c r="AX275" i="11"/>
  <c r="AX317" i="11"/>
  <c r="AX285" i="11"/>
  <c r="AX298" i="11"/>
  <c r="AX263" i="11"/>
  <c r="AX308" i="11"/>
  <c r="AX290" i="11"/>
  <c r="CP4" i="11"/>
  <c r="CS4" i="11" s="1"/>
  <c r="B1" i="12" a="1"/>
  <c r="B1" i="10"/>
  <c r="AE1" i="10" s="1" a="1"/>
  <c r="AE1" i="10" s="1"/>
  <c r="CS5" i="11"/>
  <c r="B1" i="6" a="1"/>
  <c r="B1" i="6" s="1"/>
  <c r="G1" i="9" a="1"/>
  <c r="G1" i="9" s="1"/>
  <c r="BC258" i="11" l="1"/>
  <c r="AZ273" i="11"/>
  <c r="AZ289" i="11"/>
  <c r="AZ305" i="11"/>
  <c r="AZ321" i="11"/>
  <c r="AZ274" i="11"/>
  <c r="AZ290" i="11"/>
  <c r="AZ306" i="11"/>
  <c r="AZ322" i="11"/>
  <c r="AZ259" i="11"/>
  <c r="AZ275" i="11"/>
  <c r="AZ291" i="11"/>
  <c r="AZ307" i="11"/>
  <c r="AZ323" i="11"/>
  <c r="AZ260" i="11"/>
  <c r="AZ276" i="11"/>
  <c r="AZ292" i="11"/>
  <c r="AZ308" i="11"/>
  <c r="AZ324" i="11"/>
  <c r="AZ261" i="11"/>
  <c r="AZ277" i="11"/>
  <c r="AZ293" i="11"/>
  <c r="AZ309" i="11"/>
  <c r="AZ325" i="11"/>
  <c r="AZ262" i="11"/>
  <c r="AZ278" i="11"/>
  <c r="AZ294" i="11"/>
  <c r="AZ310" i="11"/>
  <c r="AZ326" i="11"/>
  <c r="AZ263" i="11"/>
  <c r="AZ279" i="11"/>
  <c r="AZ295" i="11"/>
  <c r="AZ311" i="11"/>
  <c r="AZ327" i="11"/>
  <c r="AZ264" i="11"/>
  <c r="AZ280" i="11"/>
  <c r="AZ296" i="11"/>
  <c r="AZ312" i="11"/>
  <c r="AZ328" i="11"/>
  <c r="AZ265" i="11"/>
  <c r="AZ281" i="11"/>
  <c r="AZ297" i="11"/>
  <c r="AZ313" i="11"/>
  <c r="AZ329" i="11"/>
  <c r="AZ266" i="11"/>
  <c r="AZ282" i="11"/>
  <c r="AZ298" i="11"/>
  <c r="AZ314" i="11"/>
  <c r="AZ330" i="11"/>
  <c r="AZ267" i="11"/>
  <c r="AZ283" i="11"/>
  <c r="AZ299" i="11"/>
  <c r="AZ315" i="11"/>
  <c r="AZ331" i="11"/>
  <c r="AZ268" i="11"/>
  <c r="AZ284" i="11"/>
  <c r="AZ300" i="11"/>
  <c r="AZ316" i="11"/>
  <c r="AZ332" i="11"/>
  <c r="AZ269" i="11"/>
  <c r="AZ285" i="11"/>
  <c r="AZ301" i="11"/>
  <c r="AZ317" i="11"/>
  <c r="AZ333" i="11"/>
  <c r="AZ270" i="11"/>
  <c r="AZ286" i="11"/>
  <c r="AZ302" i="11"/>
  <c r="AZ318" i="11"/>
  <c r="AZ334" i="11"/>
  <c r="AZ271" i="11"/>
  <c r="AZ287" i="11"/>
  <c r="AZ303" i="11"/>
  <c r="AZ319" i="11"/>
  <c r="AZ272" i="11"/>
  <c r="AZ288" i="11"/>
  <c r="AZ304" i="11"/>
  <c r="AZ320" i="11"/>
  <c r="B1" i="12"/>
  <c r="AD1" i="12" s="1" a="1"/>
  <c r="AD1" i="12" s="1"/>
  <c r="BC257" i="11" l="1"/>
  <c r="B2" i="12" l="1" a="1"/>
  <c r="B2" i="12" s="1"/>
  <c r="B2" i="10" l="1" a="1"/>
  <c r="E2" i="9"/>
  <c r="E3" i="9"/>
  <c r="E4" i="9"/>
  <c r="E16" i="9"/>
  <c r="E28" i="9"/>
  <c r="E19" i="9"/>
  <c r="E14" i="9"/>
  <c r="E15" i="9"/>
  <c r="E5" i="9"/>
  <c r="E17" i="9"/>
  <c r="E29" i="9"/>
  <c r="E31" i="9"/>
  <c r="E25" i="9"/>
  <c r="E6" i="9"/>
  <c r="E18" i="9"/>
  <c r="E30" i="9"/>
  <c r="E7" i="9"/>
  <c r="E8" i="9"/>
  <c r="E20" i="9"/>
  <c r="E32" i="9"/>
  <c r="E21" i="9"/>
  <c r="E33" i="9"/>
  <c r="E13" i="9"/>
  <c r="E38" i="9"/>
  <c r="E27" i="9"/>
  <c r="E9" i="9"/>
  <c r="E10" i="9"/>
  <c r="E22" i="9"/>
  <c r="E34" i="9"/>
  <c r="E12" i="9"/>
  <c r="E36" i="9"/>
  <c r="E11" i="9"/>
  <c r="E23" i="9"/>
  <c r="E35" i="9"/>
  <c r="E24" i="9"/>
  <c r="E37" i="9"/>
  <c r="E26" i="9"/>
  <c r="EC2" i="11" a="1"/>
  <c r="EE2" i="11" a="1"/>
  <c r="C3" i="11" a="1"/>
  <c r="ED2" i="11" a="1"/>
  <c r="G2" i="9" l="1" a="1"/>
  <c r="G2" i="9" s="1"/>
  <c r="EC2" i="11"/>
  <c r="EE2" i="11"/>
  <c r="ED2" i="11"/>
  <c r="C3" i="11"/>
  <c r="B2" i="10"/>
  <c r="A3" i="11" a="1"/>
  <c r="B3" i="11" a="1"/>
  <c r="B3" i="11" l="1"/>
  <c r="A3" i="11"/>
  <c r="K50" i="11"/>
  <c r="K58" i="11"/>
  <c r="K45" i="11"/>
  <c r="K53" i="11"/>
  <c r="K48" i="11"/>
  <c r="K56" i="11"/>
  <c r="K43" i="11"/>
  <c r="K57" i="11"/>
  <c r="K63" i="11"/>
  <c r="K46" i="11"/>
  <c r="K44" i="11"/>
  <c r="K49" i="11"/>
  <c r="K52" i="11"/>
  <c r="K61" i="11"/>
  <c r="K47" i="11"/>
  <c r="K54" i="11"/>
  <c r="K66" i="11"/>
  <c r="K64" i="11"/>
  <c r="K55" i="11"/>
  <c r="K51" i="11"/>
  <c r="K65" i="11"/>
  <c r="K60" i="11"/>
  <c r="K59" i="11"/>
  <c r="K62" i="11"/>
  <c r="T43" i="11"/>
  <c r="AJ43" i="11"/>
  <c r="AZ43" i="11"/>
  <c r="BP43" i="11"/>
  <c r="CF43" i="11"/>
  <c r="N44" i="11"/>
  <c r="AD44" i="11"/>
  <c r="AT44" i="11"/>
  <c r="BJ44" i="11"/>
  <c r="BZ44" i="11"/>
  <c r="X45" i="11"/>
  <c r="AN45" i="11"/>
  <c r="BD45" i="11"/>
  <c r="BT45" i="11"/>
  <c r="CJ45" i="11"/>
  <c r="R46" i="11"/>
  <c r="AH46" i="11"/>
  <c r="AX46" i="11"/>
  <c r="BN46" i="11"/>
  <c r="CD46" i="11"/>
  <c r="L47" i="11"/>
  <c r="AB47" i="11"/>
  <c r="AR47" i="11"/>
  <c r="BH47" i="11"/>
  <c r="BX47" i="11"/>
  <c r="V48" i="11"/>
  <c r="AL48" i="11"/>
  <c r="BB48" i="11"/>
  <c r="BR48" i="11"/>
  <c r="CH48" i="11"/>
  <c r="P49" i="11"/>
  <c r="AF49" i="11"/>
  <c r="AV49" i="11"/>
  <c r="BL49" i="11"/>
  <c r="CB49" i="11"/>
  <c r="Z50" i="11"/>
  <c r="AP50" i="11"/>
  <c r="BF50" i="11"/>
  <c r="BV50" i="11"/>
  <c r="T51" i="11"/>
  <c r="AJ51" i="11"/>
  <c r="AZ51" i="11"/>
  <c r="BP51" i="11"/>
  <c r="CF51" i="11"/>
  <c r="N52" i="11"/>
  <c r="AD52" i="11"/>
  <c r="AT52" i="11"/>
  <c r="BJ52" i="11"/>
  <c r="BZ52" i="11"/>
  <c r="X53" i="11"/>
  <c r="AN53" i="11"/>
  <c r="BD53" i="11"/>
  <c r="BT53" i="11"/>
  <c r="CJ53" i="11"/>
  <c r="R54" i="11"/>
  <c r="AH54" i="11"/>
  <c r="AX54" i="11"/>
  <c r="BN54" i="11"/>
  <c r="CD54" i="11"/>
  <c r="L55" i="11"/>
  <c r="AB55" i="11"/>
  <c r="AR55" i="11"/>
  <c r="BH55" i="11"/>
  <c r="BX55" i="11"/>
  <c r="V56" i="11"/>
  <c r="AL56" i="11"/>
  <c r="BB56" i="11"/>
  <c r="BR56" i="11"/>
  <c r="CH56" i="11"/>
  <c r="P57" i="11"/>
  <c r="AF57" i="11"/>
  <c r="AV57" i="11"/>
  <c r="BL57" i="11"/>
  <c r="CB57" i="11"/>
  <c r="Z58" i="11"/>
  <c r="AP58" i="11"/>
  <c r="BF58" i="11"/>
  <c r="U43" i="11"/>
  <c r="AK43" i="11"/>
  <c r="BA43" i="11"/>
  <c r="BQ43" i="11"/>
  <c r="CG43" i="11"/>
  <c r="O44" i="11"/>
  <c r="AE44" i="11"/>
  <c r="AU44" i="11"/>
  <c r="BK44" i="11"/>
  <c r="CA44" i="11"/>
  <c r="Y45" i="11"/>
  <c r="AO45" i="11"/>
  <c r="BE45" i="11"/>
  <c r="BU45" i="11"/>
  <c r="CK45" i="11"/>
  <c r="S46" i="11"/>
  <c r="AI46" i="11"/>
  <c r="AY46" i="11"/>
  <c r="BO46" i="11"/>
  <c r="CE46" i="11"/>
  <c r="M47" i="11"/>
  <c r="AC47" i="11"/>
  <c r="AS47" i="11"/>
  <c r="BI47" i="11"/>
  <c r="BY47" i="11"/>
  <c r="W48" i="11"/>
  <c r="AM48" i="11"/>
  <c r="BC48" i="11"/>
  <c r="BS48" i="11"/>
  <c r="CI48" i="11"/>
  <c r="Q49" i="11"/>
  <c r="AG49" i="11"/>
  <c r="AW49" i="11"/>
  <c r="BM49" i="11"/>
  <c r="CC49" i="11"/>
  <c r="AA50" i="11"/>
  <c r="AQ50" i="11"/>
  <c r="BG50" i="11"/>
  <c r="BW50" i="11"/>
  <c r="U51" i="11"/>
  <c r="AK51" i="11"/>
  <c r="BA51" i="11"/>
  <c r="BQ51" i="11"/>
  <c r="CG51" i="11"/>
  <c r="O52" i="11"/>
  <c r="AE52" i="11"/>
  <c r="AU52" i="11"/>
  <c r="BK52" i="11"/>
  <c r="CA52" i="11"/>
  <c r="Y53" i="11"/>
  <c r="AO53" i="11"/>
  <c r="BE53" i="11"/>
  <c r="BU53" i="11"/>
  <c r="CK53" i="11"/>
  <c r="S54" i="11"/>
  <c r="AI54" i="11"/>
  <c r="AY54" i="11"/>
  <c r="BO54" i="11"/>
  <c r="CE54" i="11"/>
  <c r="M55" i="11"/>
  <c r="AC55" i="11"/>
  <c r="AS55" i="11"/>
  <c r="BI55" i="11"/>
  <c r="BY55" i="11"/>
  <c r="W56" i="11"/>
  <c r="AM56" i="11"/>
  <c r="BC56" i="11"/>
  <c r="BS56" i="11"/>
  <c r="CI56" i="11"/>
  <c r="Q57" i="11"/>
  <c r="AG57" i="11"/>
  <c r="AW57" i="11"/>
  <c r="BM57" i="11"/>
  <c r="CC57" i="11"/>
  <c r="AA58" i="11"/>
  <c r="AQ58" i="11"/>
  <c r="BG58" i="11"/>
  <c r="V43" i="11"/>
  <c r="AL43" i="11"/>
  <c r="BB43" i="11"/>
  <c r="BR43" i="11"/>
  <c r="CH43" i="11"/>
  <c r="P44" i="11"/>
  <c r="AF44" i="11"/>
  <c r="AV44" i="11"/>
  <c r="BL44" i="11"/>
  <c r="CB44" i="11"/>
  <c r="Z45" i="11"/>
  <c r="AP45" i="11"/>
  <c r="BF45" i="11"/>
  <c r="BV45" i="11"/>
  <c r="T46" i="11"/>
  <c r="AJ46" i="11"/>
  <c r="AZ46" i="11"/>
  <c r="BP46" i="11"/>
  <c r="CF46" i="11"/>
  <c r="N47" i="11"/>
  <c r="AD47" i="11"/>
  <c r="AT47" i="11"/>
  <c r="BJ47" i="11"/>
  <c r="BZ47" i="11"/>
  <c r="X48" i="11"/>
  <c r="AN48" i="11"/>
  <c r="BD48" i="11"/>
  <c r="BT48" i="11"/>
  <c r="CJ48" i="11"/>
  <c r="R49" i="11"/>
  <c r="AH49" i="11"/>
  <c r="AX49" i="11"/>
  <c r="BN49" i="11"/>
  <c r="CD49" i="11"/>
  <c r="L50" i="11"/>
  <c r="AB50" i="11"/>
  <c r="AR50" i="11"/>
  <c r="BH50" i="11"/>
  <c r="BX50" i="11"/>
  <c r="V51" i="11"/>
  <c r="AL51" i="11"/>
  <c r="BB51" i="11"/>
  <c r="BR51" i="11"/>
  <c r="CH51" i="11"/>
  <c r="P52" i="11"/>
  <c r="AF52" i="11"/>
  <c r="AV52" i="11"/>
  <c r="BL52" i="11"/>
  <c r="CB52" i="11"/>
  <c r="Z53" i="11"/>
  <c r="AP53" i="11"/>
  <c r="BF53" i="11"/>
  <c r="BV53" i="11"/>
  <c r="T54" i="11"/>
  <c r="AJ54" i="11"/>
  <c r="AZ54" i="11"/>
  <c r="BP54" i="11"/>
  <c r="CF54" i="11"/>
  <c r="N55" i="11"/>
  <c r="AD55" i="11"/>
  <c r="AT55" i="11"/>
  <c r="BJ55" i="11"/>
  <c r="BZ55" i="11"/>
  <c r="X56" i="11"/>
  <c r="AN56" i="11"/>
  <c r="BD56" i="11"/>
  <c r="BT56" i="11"/>
  <c r="CJ56" i="11"/>
  <c r="W43" i="11"/>
  <c r="AM43" i="11"/>
  <c r="BC43" i="11"/>
  <c r="BS43" i="11"/>
  <c r="CI43" i="11"/>
  <c r="Q44" i="11"/>
  <c r="AG44" i="11"/>
  <c r="AW44" i="11"/>
  <c r="BM44" i="11"/>
  <c r="CC44" i="11"/>
  <c r="AA45" i="11"/>
  <c r="AQ45" i="11"/>
  <c r="BG45" i="11"/>
  <c r="BW45" i="11"/>
  <c r="U46" i="11"/>
  <c r="AK46" i="11"/>
  <c r="BA46" i="11"/>
  <c r="BQ46" i="11"/>
  <c r="CG46" i="11"/>
  <c r="O47" i="11"/>
  <c r="AE47" i="11"/>
  <c r="AU47" i="11"/>
  <c r="BK47" i="11"/>
  <c r="CA47" i="11"/>
  <c r="Y48" i="11"/>
  <c r="AO48" i="11"/>
  <c r="BE48" i="11"/>
  <c r="BU48" i="11"/>
  <c r="CK48" i="11"/>
  <c r="S49" i="11"/>
  <c r="AI49" i="11"/>
  <c r="AY49" i="11"/>
  <c r="BO49" i="11"/>
  <c r="CE49" i="11"/>
  <c r="M50" i="11"/>
  <c r="AC50" i="11"/>
  <c r="AS50" i="11"/>
  <c r="BI50" i="11"/>
  <c r="BY50" i="11"/>
  <c r="W51" i="11"/>
  <c r="AM51" i="11"/>
  <c r="BC51" i="11"/>
  <c r="BS51" i="11"/>
  <c r="CI51" i="11"/>
  <c r="Q52" i="11"/>
  <c r="AG52" i="11"/>
  <c r="AW52" i="11"/>
  <c r="BM52" i="11"/>
  <c r="CC52" i="11"/>
  <c r="AA53" i="11"/>
  <c r="AQ53" i="11"/>
  <c r="BG53" i="11"/>
  <c r="BW53" i="11"/>
  <c r="U54" i="11"/>
  <c r="AK54" i="11"/>
  <c r="BA54" i="11"/>
  <c r="BQ54" i="11"/>
  <c r="CG54" i="11"/>
  <c r="O55" i="11"/>
  <c r="AE55" i="11"/>
  <c r="AU55" i="11"/>
  <c r="BK55" i="11"/>
  <c r="CA55" i="11"/>
  <c r="Y56" i="11"/>
  <c r="AO56" i="11"/>
  <c r="BE56" i="11"/>
  <c r="BU56" i="11"/>
  <c r="CK56" i="11"/>
  <c r="S57" i="11"/>
  <c r="AI57" i="11"/>
  <c r="AY57" i="11"/>
  <c r="BO57" i="11"/>
  <c r="CE57" i="11"/>
  <c r="M58" i="11"/>
  <c r="AC58" i="11"/>
  <c r="AS58" i="11"/>
  <c r="BI58" i="11"/>
  <c r="X43" i="11"/>
  <c r="AN43" i="11"/>
  <c r="BD43" i="11"/>
  <c r="BT43" i="11"/>
  <c r="CJ43" i="11"/>
  <c r="R44" i="11"/>
  <c r="AH44" i="11"/>
  <c r="AX44" i="11"/>
  <c r="BN44" i="11"/>
  <c r="CD44" i="11"/>
  <c r="L45" i="11"/>
  <c r="AB45" i="11"/>
  <c r="AR45" i="11"/>
  <c r="BH45" i="11"/>
  <c r="BX45" i="11"/>
  <c r="V46" i="11"/>
  <c r="AL46" i="11"/>
  <c r="BB46" i="11"/>
  <c r="BR46" i="11"/>
  <c r="CH46" i="11"/>
  <c r="P47" i="11"/>
  <c r="AF47" i="11"/>
  <c r="AV47" i="11"/>
  <c r="BL47" i="11"/>
  <c r="CB47" i="11"/>
  <c r="Z48" i="11"/>
  <c r="AP48" i="11"/>
  <c r="BF48" i="11"/>
  <c r="BV48" i="11"/>
  <c r="T49" i="11"/>
  <c r="AJ49" i="11"/>
  <c r="AZ49" i="11"/>
  <c r="BP49" i="11"/>
  <c r="CF49" i="11"/>
  <c r="N50" i="11"/>
  <c r="AD50" i="11"/>
  <c r="AT50" i="11"/>
  <c r="BJ50" i="11"/>
  <c r="BZ50" i="11"/>
  <c r="X51" i="11"/>
  <c r="AN51" i="11"/>
  <c r="BD51" i="11"/>
  <c r="BT51" i="11"/>
  <c r="CJ51" i="11"/>
  <c r="R52" i="11"/>
  <c r="AH52" i="11"/>
  <c r="AX52" i="11"/>
  <c r="BN52" i="11"/>
  <c r="CD52" i="11"/>
  <c r="L53" i="11"/>
  <c r="AB53" i="11"/>
  <c r="AR53" i="11"/>
  <c r="BH53" i="11"/>
  <c r="BX53" i="11"/>
  <c r="V54" i="11"/>
  <c r="AL54" i="11"/>
  <c r="BB54" i="11"/>
  <c r="BR54" i="11"/>
  <c r="CH54" i="11"/>
  <c r="P55" i="11"/>
  <c r="AF55" i="11"/>
  <c r="AV55" i="11"/>
  <c r="BL55" i="11"/>
  <c r="CB55" i="11"/>
  <c r="Z56" i="11"/>
  <c r="AP56" i="11"/>
  <c r="BF56" i="11"/>
  <c r="BV56" i="11"/>
  <c r="Y43" i="11"/>
  <c r="AO43" i="11"/>
  <c r="BE43" i="11"/>
  <c r="BU43" i="11"/>
  <c r="CK43" i="11"/>
  <c r="S44" i="11"/>
  <c r="AI44" i="11"/>
  <c r="AY44" i="11"/>
  <c r="BO44" i="11"/>
  <c r="CE44" i="11"/>
  <c r="M45" i="11"/>
  <c r="AC45" i="11"/>
  <c r="AS45" i="11"/>
  <c r="BI45" i="11"/>
  <c r="BY45" i="11"/>
  <c r="W46" i="11"/>
  <c r="AM46" i="11"/>
  <c r="BC46" i="11"/>
  <c r="BS46" i="11"/>
  <c r="CI46" i="11"/>
  <c r="Q47" i="11"/>
  <c r="AG47" i="11"/>
  <c r="AW47" i="11"/>
  <c r="BM47" i="11"/>
  <c r="CC47" i="11"/>
  <c r="AA48" i="11"/>
  <c r="AQ48" i="11"/>
  <c r="BG48" i="11"/>
  <c r="BW48" i="11"/>
  <c r="U49" i="11"/>
  <c r="AK49" i="11"/>
  <c r="BA49" i="11"/>
  <c r="BQ49" i="11"/>
  <c r="CG49" i="11"/>
  <c r="O50" i="11"/>
  <c r="AE50" i="11"/>
  <c r="AU50" i="11"/>
  <c r="BK50" i="11"/>
  <c r="CA50" i="11"/>
  <c r="Y51" i="11"/>
  <c r="AO51" i="11"/>
  <c r="BE51" i="11"/>
  <c r="BU51" i="11"/>
  <c r="CK51" i="11"/>
  <c r="S52" i="11"/>
  <c r="AI52" i="11"/>
  <c r="AY52" i="11"/>
  <c r="BO52" i="11"/>
  <c r="CE52" i="11"/>
  <c r="M53" i="11"/>
  <c r="AC53" i="11"/>
  <c r="AS53" i="11"/>
  <c r="BI53" i="11"/>
  <c r="BY53" i="11"/>
  <c r="W54" i="11"/>
  <c r="AM54" i="11"/>
  <c r="BC54" i="11"/>
  <c r="BS54" i="11"/>
  <c r="CI54" i="11"/>
  <c r="Q55" i="11"/>
  <c r="AG55" i="11"/>
  <c r="AW55" i="11"/>
  <c r="BM55" i="11"/>
  <c r="CC55" i="11"/>
  <c r="AA56" i="11"/>
  <c r="AQ56" i="11"/>
  <c r="BG56" i="11"/>
  <c r="BW56" i="11"/>
  <c r="U57" i="11"/>
  <c r="AK57" i="11"/>
  <c r="BA57" i="11"/>
  <c r="BQ57" i="11"/>
  <c r="CG57" i="11"/>
  <c r="O58" i="11"/>
  <c r="AE58" i="11"/>
  <c r="AU58" i="11"/>
  <c r="BK58" i="11"/>
  <c r="Z43" i="11"/>
  <c r="AP43" i="11"/>
  <c r="BF43" i="11"/>
  <c r="BV43" i="11"/>
  <c r="T44" i="11"/>
  <c r="AJ44" i="11"/>
  <c r="AZ44" i="11"/>
  <c r="BP44" i="11"/>
  <c r="CF44" i="11"/>
  <c r="N45" i="11"/>
  <c r="AD45" i="11"/>
  <c r="AT45" i="11"/>
  <c r="BJ45" i="11"/>
  <c r="BZ45" i="11"/>
  <c r="X46" i="11"/>
  <c r="AN46" i="11"/>
  <c r="BD46" i="11"/>
  <c r="BT46" i="11"/>
  <c r="CJ46" i="11"/>
  <c r="R47" i="11"/>
  <c r="AH47" i="11"/>
  <c r="AX47" i="11"/>
  <c r="BN47" i="11"/>
  <c r="CD47" i="11"/>
  <c r="L48" i="11"/>
  <c r="AB48" i="11"/>
  <c r="AR48" i="11"/>
  <c r="BH48" i="11"/>
  <c r="BX48" i="11"/>
  <c r="V49" i="11"/>
  <c r="AL49" i="11"/>
  <c r="AH43" i="11"/>
  <c r="BL43" i="11"/>
  <c r="AL44" i="11"/>
  <c r="BI44" i="11"/>
  <c r="AI45" i="11"/>
  <c r="BM45" i="11"/>
  <c r="AF46" i="11"/>
  <c r="BJ46" i="11"/>
  <c r="AJ47" i="11"/>
  <c r="BG47" i="11"/>
  <c r="CK47" i="11"/>
  <c r="AG48" i="11"/>
  <c r="BK48" i="11"/>
  <c r="AD49" i="11"/>
  <c r="BG49" i="11"/>
  <c r="CI49" i="11"/>
  <c r="W50" i="11"/>
  <c r="AY50" i="11"/>
  <c r="BU50" i="11"/>
  <c r="O51" i="11"/>
  <c r="AQ51" i="11"/>
  <c r="BM51" i="11"/>
  <c r="AC52" i="11"/>
  <c r="BE52" i="11"/>
  <c r="CG52" i="11"/>
  <c r="U53" i="11"/>
  <c r="AW53" i="11"/>
  <c r="BS53" i="11"/>
  <c r="M54" i="11"/>
  <c r="AO54" i="11"/>
  <c r="BK54" i="11"/>
  <c r="AA55" i="11"/>
  <c r="BC55" i="11"/>
  <c r="CE55" i="11"/>
  <c r="S56" i="11"/>
  <c r="AU56" i="11"/>
  <c r="BQ56" i="11"/>
  <c r="AE57" i="11"/>
  <c r="BC57" i="11"/>
  <c r="BW57" i="11"/>
  <c r="AG58" i="11"/>
  <c r="BA58" i="11"/>
  <c r="BU58" i="11"/>
  <c r="CK58" i="11"/>
  <c r="S59" i="11"/>
  <c r="AI59" i="11"/>
  <c r="AY59" i="11"/>
  <c r="BO59" i="11"/>
  <c r="CE59" i="11"/>
  <c r="M60" i="11"/>
  <c r="AC60" i="11"/>
  <c r="AS60" i="11"/>
  <c r="BI60" i="11"/>
  <c r="BY60" i="11"/>
  <c r="W61" i="11"/>
  <c r="AM61" i="11"/>
  <c r="BC61" i="11"/>
  <c r="BS61" i="11"/>
  <c r="CI61" i="11"/>
  <c r="Q62" i="11"/>
  <c r="AG62" i="11"/>
  <c r="AW62" i="11"/>
  <c r="BM62" i="11"/>
  <c r="CC62" i="11"/>
  <c r="AA63" i="11"/>
  <c r="AQ63" i="11"/>
  <c r="BG63" i="11"/>
  <c r="BW63" i="11"/>
  <c r="U64" i="11"/>
  <c r="AK64" i="11"/>
  <c r="BA64" i="11"/>
  <c r="BQ64" i="11"/>
  <c r="CG64" i="11"/>
  <c r="L43" i="11"/>
  <c r="AI43" i="11"/>
  <c r="BM43" i="11"/>
  <c r="AM44" i="11"/>
  <c r="BQ44" i="11"/>
  <c r="AJ45" i="11"/>
  <c r="BN45" i="11"/>
  <c r="AG46" i="11"/>
  <c r="BK46" i="11"/>
  <c r="AK47" i="11"/>
  <c r="BO47" i="11"/>
  <c r="AH48" i="11"/>
  <c r="BL48" i="11"/>
  <c r="AE49" i="11"/>
  <c r="BH49" i="11"/>
  <c r="CJ49" i="11"/>
  <c r="X50" i="11"/>
  <c r="AZ50" i="11"/>
  <c r="CB50" i="11"/>
  <c r="P51" i="11"/>
  <c r="AR51" i="11"/>
  <c r="BN51" i="11"/>
  <c r="AJ52" i="11"/>
  <c r="BF52" i="11"/>
  <c r="CH52" i="11"/>
  <c r="V53" i="11"/>
  <c r="AX53" i="11"/>
  <c r="BZ53" i="11"/>
  <c r="N54" i="11"/>
  <c r="AP54" i="11"/>
  <c r="BL54" i="11"/>
  <c r="AH55" i="11"/>
  <c r="BD55" i="11"/>
  <c r="CF55" i="11"/>
  <c r="T56" i="11"/>
  <c r="AV56" i="11"/>
  <c r="BX56" i="11"/>
  <c r="L57" i="11"/>
  <c r="AH57" i="11"/>
  <c r="BD57" i="11"/>
  <c r="BX57" i="11"/>
  <c r="L58" i="11"/>
  <c r="AH58" i="11"/>
  <c r="BB58" i="11"/>
  <c r="BV58" i="11"/>
  <c r="M43" i="11"/>
  <c r="AQ43" i="11"/>
  <c r="BN43" i="11"/>
  <c r="AN44" i="11"/>
  <c r="BR44" i="11"/>
  <c r="AK45" i="11"/>
  <c r="BO45" i="11"/>
  <c r="AO46" i="11"/>
  <c r="BL46" i="11"/>
  <c r="AL47" i="11"/>
  <c r="BP47" i="11"/>
  <c r="AI48" i="11"/>
  <c r="BM48" i="11"/>
  <c r="AM49" i="11"/>
  <c r="BI49" i="11"/>
  <c r="CK49" i="11"/>
  <c r="Y50" i="11"/>
  <c r="BA50" i="11"/>
  <c r="CC50" i="11"/>
  <c r="Q51" i="11"/>
  <c r="AS51" i="11"/>
  <c r="BO51" i="11"/>
  <c r="AK52" i="11"/>
  <c r="BG52" i="11"/>
  <c r="CI52" i="11"/>
  <c r="W53" i="11"/>
  <c r="AY53" i="11"/>
  <c r="CA53" i="11"/>
  <c r="O54" i="11"/>
  <c r="AQ54" i="11"/>
  <c r="BM54" i="11"/>
  <c r="AI55" i="11"/>
  <c r="BE55" i="11"/>
  <c r="CG55" i="11"/>
  <c r="U56" i="11"/>
  <c r="AW56" i="11"/>
  <c r="BY56" i="11"/>
  <c r="M57" i="11"/>
  <c r="AJ57" i="11"/>
  <c r="BE57" i="11"/>
  <c r="BY57" i="11"/>
  <c r="N58" i="11"/>
  <c r="AI58" i="11"/>
  <c r="BC58" i="11"/>
  <c r="BW58" i="11"/>
  <c r="U59" i="11"/>
  <c r="AK59" i="11"/>
  <c r="BA59" i="11"/>
  <c r="BQ59" i="11"/>
  <c r="CG59" i="11"/>
  <c r="O60" i="11"/>
  <c r="AE60" i="11"/>
  <c r="AU60" i="11"/>
  <c r="BK60" i="11"/>
  <c r="CA60" i="11"/>
  <c r="Y61" i="11"/>
  <c r="AO61" i="11"/>
  <c r="BE61" i="11"/>
  <c r="BU61" i="11"/>
  <c r="CK61" i="11"/>
  <c r="S62" i="11"/>
  <c r="AI62" i="11"/>
  <c r="AY62" i="11"/>
  <c r="BO62" i="11"/>
  <c r="CE62" i="11"/>
  <c r="M63" i="11"/>
  <c r="AC63" i="11"/>
  <c r="AS63" i="11"/>
  <c r="BI63" i="11"/>
  <c r="BY63" i="11"/>
  <c r="W64" i="11"/>
  <c r="AM64" i="11"/>
  <c r="BC64" i="11"/>
  <c r="BS64" i="11"/>
  <c r="N43" i="11"/>
  <c r="AR43" i="11"/>
  <c r="BO43" i="11"/>
  <c r="AO44" i="11"/>
  <c r="BS44" i="11"/>
  <c r="O45" i="11"/>
  <c r="AL45" i="11"/>
  <c r="BP45" i="11"/>
  <c r="L46" i="11"/>
  <c r="AP46" i="11"/>
  <c r="BM46" i="11"/>
  <c r="AM47" i="11"/>
  <c r="BQ47" i="11"/>
  <c r="M48" i="11"/>
  <c r="AJ48" i="11"/>
  <c r="BN48" i="11"/>
  <c r="AN49" i="11"/>
  <c r="BJ49" i="11"/>
  <c r="AF50" i="11"/>
  <c r="BB50" i="11"/>
  <c r="CD50" i="11"/>
  <c r="R51" i="11"/>
  <c r="AT51" i="11"/>
  <c r="BV51" i="11"/>
  <c r="AL52" i="11"/>
  <c r="BH52" i="11"/>
  <c r="CJ52" i="11"/>
  <c r="AD53" i="11"/>
  <c r="AZ53" i="11"/>
  <c r="CB53" i="11"/>
  <c r="P54" i="11"/>
  <c r="AR54" i="11"/>
  <c r="BT54" i="11"/>
  <c r="AJ55" i="11"/>
  <c r="BF55" i="11"/>
  <c r="CH55" i="11"/>
  <c r="AB56" i="11"/>
  <c r="AX56" i="11"/>
  <c r="BZ56" i="11"/>
  <c r="N57" i="11"/>
  <c r="AL57" i="11"/>
  <c r="BF57" i="11"/>
  <c r="BZ57" i="11"/>
  <c r="P58" i="11"/>
  <c r="AJ58" i="11"/>
  <c r="BD58" i="11"/>
  <c r="BX58" i="11"/>
  <c r="V59" i="11"/>
  <c r="AL59" i="11"/>
  <c r="BB59" i="11"/>
  <c r="BR59" i="11"/>
  <c r="CH59" i="11"/>
  <c r="P60" i="11"/>
  <c r="AF60" i="11"/>
  <c r="O43" i="11"/>
  <c r="AS43" i="11"/>
  <c r="BW43" i="11"/>
  <c r="L44" i="11"/>
  <c r="AP44" i="11"/>
  <c r="BT44" i="11"/>
  <c r="P45" i="11"/>
  <c r="AM45" i="11"/>
  <c r="BQ45" i="11"/>
  <c r="M46" i="11"/>
  <c r="AQ46" i="11"/>
  <c r="BU46" i="11"/>
  <c r="AN47" i="11"/>
  <c r="BR47" i="11"/>
  <c r="N48" i="11"/>
  <c r="AK48" i="11"/>
  <c r="BO48" i="11"/>
  <c r="AO49" i="11"/>
  <c r="BK49" i="11"/>
  <c r="AG50" i="11"/>
  <c r="BC50" i="11"/>
  <c r="CE50" i="11"/>
  <c r="S51" i="11"/>
  <c r="AU51" i="11"/>
  <c r="BW51" i="11"/>
  <c r="AM52" i="11"/>
  <c r="BI52" i="11"/>
  <c r="CK52" i="11"/>
  <c r="AE53" i="11"/>
  <c r="BA53" i="11"/>
  <c r="CC53" i="11"/>
  <c r="Q54" i="11"/>
  <c r="AS54" i="11"/>
  <c r="BU54" i="11"/>
  <c r="AK55" i="11"/>
  <c r="BG55" i="11"/>
  <c r="CI55" i="11"/>
  <c r="AC56" i="11"/>
  <c r="AY56" i="11"/>
  <c r="CA56" i="11"/>
  <c r="O57" i="11"/>
  <c r="AM57" i="11"/>
  <c r="BG57" i="11"/>
  <c r="CA57" i="11"/>
  <c r="Q58" i="11"/>
  <c r="AK58" i="11"/>
  <c r="BE58" i="11"/>
  <c r="BY58" i="11"/>
  <c r="W59" i="11"/>
  <c r="AM59" i="11"/>
  <c r="BC59" i="11"/>
  <c r="BS59" i="11"/>
  <c r="CI59" i="11"/>
  <c r="Q60" i="11"/>
  <c r="AG60" i="11"/>
  <c r="AW60" i="11"/>
  <c r="BM60" i="11"/>
  <c r="CC60" i="11"/>
  <c r="AA61" i="11"/>
  <c r="AQ61" i="11"/>
  <c r="BG61" i="11"/>
  <c r="BW61" i="11"/>
  <c r="U62" i="11"/>
  <c r="AK62" i="11"/>
  <c r="BA62" i="11"/>
  <c r="BQ62" i="11"/>
  <c r="CG62" i="11"/>
  <c r="O63" i="11"/>
  <c r="AE63" i="11"/>
  <c r="AU63" i="11"/>
  <c r="BK63" i="11"/>
  <c r="CA63" i="11"/>
  <c r="Y64" i="11"/>
  <c r="AO64" i="11"/>
  <c r="BE64" i="11"/>
  <c r="BU64" i="11"/>
  <c r="P43" i="11"/>
  <c r="AT43" i="11"/>
  <c r="BX43" i="11"/>
  <c r="M44" i="11"/>
  <c r="AQ44" i="11"/>
  <c r="BU44" i="11"/>
  <c r="Q45" i="11"/>
  <c r="AU45" i="11"/>
  <c r="BR45" i="11"/>
  <c r="N46" i="11"/>
  <c r="AR46" i="11"/>
  <c r="BV46" i="11"/>
  <c r="AO47" i="11"/>
  <c r="BS47" i="11"/>
  <c r="O48" i="11"/>
  <c r="AS48" i="11"/>
  <c r="BP48" i="11"/>
  <c r="L49" i="11"/>
  <c r="AP49" i="11"/>
  <c r="BR49" i="11"/>
  <c r="AH50" i="11"/>
  <c r="BD50" i="11"/>
  <c r="CF50" i="11"/>
  <c r="Z51" i="11"/>
  <c r="AV51" i="11"/>
  <c r="BX51" i="11"/>
  <c r="L52" i="11"/>
  <c r="AN52" i="11"/>
  <c r="Q43" i="11"/>
  <c r="BH43" i="11"/>
  <c r="W44" i="11"/>
  <c r="BG44" i="11"/>
  <c r="V45" i="11"/>
  <c r="BS45" i="11"/>
  <c r="AB46" i="11"/>
  <c r="BY46" i="11"/>
  <c r="AA47" i="11"/>
  <c r="CE47" i="11"/>
  <c r="AT48" i="11"/>
  <c r="CD48" i="11"/>
  <c r="AS49" i="11"/>
  <c r="CA49" i="11"/>
  <c r="AM50" i="11"/>
  <c r="CG50" i="11"/>
  <c r="AG51" i="11"/>
  <c r="CA51" i="11"/>
  <c r="AA52" i="11"/>
  <c r="BT52" i="11"/>
  <c r="S53" i="11"/>
  <c r="BK53" i="11"/>
  <c r="AV54" i="11"/>
  <c r="CC54" i="11"/>
  <c r="AM55" i="11"/>
  <c r="BT55" i="11"/>
  <c r="AD56" i="11"/>
  <c r="BK56" i="11"/>
  <c r="AR57" i="11"/>
  <c r="BU57" i="11"/>
  <c r="U58" i="11"/>
  <c r="AX58" i="11"/>
  <c r="CB58" i="11"/>
  <c r="O59" i="11"/>
  <c r="AJ59" i="11"/>
  <c r="BG59" i="11"/>
  <c r="CA59" i="11"/>
  <c r="N60" i="11"/>
  <c r="AK60" i="11"/>
  <c r="BD60" i="11"/>
  <c r="BW60" i="11"/>
  <c r="AD61" i="11"/>
  <c r="AW61" i="11"/>
  <c r="BP61" i="11"/>
  <c r="CJ61" i="11"/>
  <c r="W62" i="11"/>
  <c r="AP62" i="11"/>
  <c r="BI62" i="11"/>
  <c r="CB62" i="11"/>
  <c r="P63" i="11"/>
  <c r="AI63" i="11"/>
  <c r="BB63" i="11"/>
  <c r="BU63" i="11"/>
  <c r="AB64" i="11"/>
  <c r="AU64" i="11"/>
  <c r="BN64" i="11"/>
  <c r="CH64" i="11"/>
  <c r="P65" i="11"/>
  <c r="AF65" i="11"/>
  <c r="AV65" i="11"/>
  <c r="BL65" i="11"/>
  <c r="CB65" i="11"/>
  <c r="Z66" i="11"/>
  <c r="AP66" i="11"/>
  <c r="BF66" i="11"/>
  <c r="BV66" i="11"/>
  <c r="R43" i="11"/>
  <c r="BI43" i="11"/>
  <c r="X44" i="11"/>
  <c r="BH44" i="11"/>
  <c r="W45" i="11"/>
  <c r="CA45" i="11"/>
  <c r="AC46" i="11"/>
  <c r="BZ46" i="11"/>
  <c r="AI47" i="11"/>
  <c r="CF47" i="11"/>
  <c r="AU48" i="11"/>
  <c r="CE48" i="11"/>
  <c r="AT49" i="11"/>
  <c r="CH49" i="11"/>
  <c r="AN50" i="11"/>
  <c r="CH50" i="11"/>
  <c r="AH51" i="11"/>
  <c r="CB51" i="11"/>
  <c r="AB52" i="11"/>
  <c r="BU52" i="11"/>
  <c r="T53" i="11"/>
  <c r="BL53" i="11"/>
  <c r="AW54" i="11"/>
  <c r="CJ54" i="11"/>
  <c r="AN55" i="11"/>
  <c r="BU55" i="11"/>
  <c r="AE56" i="11"/>
  <c r="BL56" i="11"/>
  <c r="R57" i="11"/>
  <c r="AS57" i="11"/>
  <c r="BV57" i="11"/>
  <c r="V58" i="11"/>
  <c r="AY58" i="11"/>
  <c r="CC58" i="11"/>
  <c r="P59" i="11"/>
  <c r="AN59" i="11"/>
  <c r="BH59" i="11"/>
  <c r="CB59" i="11"/>
  <c r="R60" i="11"/>
  <c r="AL60" i="11"/>
  <c r="BE60" i="11"/>
  <c r="BX60" i="11"/>
  <c r="L61" i="11"/>
  <c r="AE61" i="11"/>
  <c r="AX61" i="11"/>
  <c r="BQ61" i="11"/>
  <c r="X62" i="11"/>
  <c r="AQ62" i="11"/>
  <c r="BJ62" i="11"/>
  <c r="CD62" i="11"/>
  <c r="Q63" i="11"/>
  <c r="AJ63" i="11"/>
  <c r="BC63" i="11"/>
  <c r="BV63" i="11"/>
  <c r="AC64" i="11"/>
  <c r="AV64" i="11"/>
  <c r="BO64" i="11"/>
  <c r="CI64" i="11"/>
  <c r="Q65" i="11"/>
  <c r="AG65" i="11"/>
  <c r="AW65" i="11"/>
  <c r="BM65" i="11"/>
  <c r="CC65" i="11"/>
  <c r="AA66" i="11"/>
  <c r="AQ66" i="11"/>
  <c r="BG66" i="11"/>
  <c r="BW66" i="11"/>
  <c r="S43" i="11"/>
  <c r="BJ43" i="11"/>
  <c r="Y44" i="11"/>
  <c r="BV44" i="11"/>
  <c r="AE45" i="11"/>
  <c r="CB45" i="11"/>
  <c r="AD46" i="11"/>
  <c r="CA46" i="11"/>
  <c r="AP47" i="11"/>
  <c r="CG47" i="11"/>
  <c r="AV48" i="11"/>
  <c r="CF48" i="11"/>
  <c r="AU49" i="11"/>
  <c r="AO50" i="11"/>
  <c r="CI50" i="11"/>
  <c r="AI51" i="11"/>
  <c r="CC51" i="11"/>
  <c r="AO52" i="11"/>
  <c r="BV52" i="11"/>
  <c r="AF53" i="11"/>
  <c r="BM53" i="11"/>
  <c r="L54" i="11"/>
  <c r="BD54" i="11"/>
  <c r="CK54" i="11"/>
  <c r="AO55" i="11"/>
  <c r="BV55" i="11"/>
  <c r="AF56" i="11"/>
  <c r="BM56" i="11"/>
  <c r="T57" i="11"/>
  <c r="AT57" i="11"/>
  <c r="CD57" i="11"/>
  <c r="W58" i="11"/>
  <c r="AZ58" i="11"/>
  <c r="CD58" i="11"/>
  <c r="Q59" i="11"/>
  <c r="AO59" i="11"/>
  <c r="BI59" i="11"/>
  <c r="CC59" i="11"/>
  <c r="S60" i="11"/>
  <c r="AM60" i="11"/>
  <c r="BF60" i="11"/>
  <c r="BZ60" i="11"/>
  <c r="M61" i="11"/>
  <c r="AF61" i="11"/>
  <c r="AY61" i="11"/>
  <c r="BR61" i="11"/>
  <c r="Y62" i="11"/>
  <c r="AR62" i="11"/>
  <c r="BK62" i="11"/>
  <c r="CF62" i="11"/>
  <c r="R63" i="11"/>
  <c r="AK63" i="11"/>
  <c r="BD63" i="11"/>
  <c r="BX63" i="11"/>
  <c r="AD64" i="11"/>
  <c r="AW64" i="11"/>
  <c r="BP64" i="11"/>
  <c r="CJ64" i="11"/>
  <c r="R65" i="11"/>
  <c r="AH65" i="11"/>
  <c r="AX65" i="11"/>
  <c r="BN65" i="11"/>
  <c r="CD65" i="11"/>
  <c r="L66" i="11"/>
  <c r="AB66" i="11"/>
  <c r="AR66" i="11"/>
  <c r="BH66" i="11"/>
  <c r="BX66" i="11"/>
  <c r="AA43" i="11"/>
  <c r="BK43" i="11"/>
  <c r="Z44" i="11"/>
  <c r="BW44" i="11"/>
  <c r="AF45" i="11"/>
  <c r="CC45" i="11"/>
  <c r="AE46" i="11"/>
  <c r="CB46" i="11"/>
  <c r="AQ47" i="11"/>
  <c r="CH47" i="11"/>
  <c r="AW48" i="11"/>
  <c r="CG48" i="11"/>
  <c r="BB49" i="11"/>
  <c r="AV50" i="11"/>
  <c r="CJ50" i="11"/>
  <c r="AP51" i="11"/>
  <c r="CD51" i="11"/>
  <c r="AP52" i="11"/>
  <c r="BW52" i="11"/>
  <c r="AG53" i="11"/>
  <c r="BN53" i="11"/>
  <c r="X54" i="11"/>
  <c r="BE54" i="11"/>
  <c r="AP55" i="11"/>
  <c r="BW55" i="11"/>
  <c r="AG56" i="11"/>
  <c r="BN56" i="11"/>
  <c r="V57" i="11"/>
  <c r="AU57" i="11"/>
  <c r="CF57" i="11"/>
  <c r="X58" i="11"/>
  <c r="BH58" i="11"/>
  <c r="CE58" i="11"/>
  <c r="R59" i="11"/>
  <c r="AP59" i="11"/>
  <c r="BJ59" i="11"/>
  <c r="CD59" i="11"/>
  <c r="T60" i="11"/>
  <c r="AN60" i="11"/>
  <c r="BG60" i="11"/>
  <c r="CB60" i="11"/>
  <c r="N61" i="11"/>
  <c r="AG61" i="11"/>
  <c r="AZ61" i="11"/>
  <c r="BT61" i="11"/>
  <c r="Z62" i="11"/>
  <c r="AS62" i="11"/>
  <c r="BL62" i="11"/>
  <c r="CH62" i="11"/>
  <c r="S63" i="11"/>
  <c r="AL63" i="11"/>
  <c r="BE63" i="11"/>
  <c r="BZ63" i="11"/>
  <c r="L64" i="11"/>
  <c r="AE64" i="11"/>
  <c r="AX64" i="11"/>
  <c r="BR64" i="11"/>
  <c r="CK64" i="11"/>
  <c r="S65" i="11"/>
  <c r="AI65" i="11"/>
  <c r="AY65" i="11"/>
  <c r="BO65" i="11"/>
  <c r="CE65" i="11"/>
  <c r="M66" i="11"/>
  <c r="AC66" i="11"/>
  <c r="AS66" i="11"/>
  <c r="BI66" i="11"/>
  <c r="BY66" i="11"/>
  <c r="AB43" i="11"/>
  <c r="BY43" i="11"/>
  <c r="AA44" i="11"/>
  <c r="BX44" i="11"/>
  <c r="AG45" i="11"/>
  <c r="CD45" i="11"/>
  <c r="AS46" i="11"/>
  <c r="CC46" i="11"/>
  <c r="AY47" i="11"/>
  <c r="CI47" i="11"/>
  <c r="AX48" i="11"/>
  <c r="M49" i="11"/>
  <c r="BC49" i="11"/>
  <c r="AW50" i="11"/>
  <c r="CK50" i="11"/>
  <c r="AW51" i="11"/>
  <c r="CE51" i="11"/>
  <c r="AQ52" i="11"/>
  <c r="BX52" i="11"/>
  <c r="AH53" i="11"/>
  <c r="BO53" i="11"/>
  <c r="Y54" i="11"/>
  <c r="BF54" i="11"/>
  <c r="AQ55" i="11"/>
  <c r="CD55" i="11"/>
  <c r="AH56" i="11"/>
  <c r="BO56" i="11"/>
  <c r="W57" i="11"/>
  <c r="AX57" i="11"/>
  <c r="CH57" i="11"/>
  <c r="Y58" i="11"/>
  <c r="BJ58" i="11"/>
  <c r="CF58" i="11"/>
  <c r="T59" i="11"/>
  <c r="AQ59" i="11"/>
  <c r="BK59" i="11"/>
  <c r="CF59" i="11"/>
  <c r="U60" i="11"/>
  <c r="AO60" i="11"/>
  <c r="BH60" i="11"/>
  <c r="CD60" i="11"/>
  <c r="O61" i="11"/>
  <c r="AH61" i="11"/>
  <c r="BA61" i="11"/>
  <c r="BV61" i="11"/>
  <c r="AA62" i="11"/>
  <c r="AT62" i="11"/>
  <c r="BN62" i="11"/>
  <c r="CI62" i="11"/>
  <c r="T63" i="11"/>
  <c r="AM63" i="11"/>
  <c r="BF63" i="11"/>
  <c r="CB63" i="11"/>
  <c r="M64" i="11"/>
  <c r="AF64" i="11"/>
  <c r="AY64" i="11"/>
  <c r="BT64" i="11"/>
  <c r="T65" i="11"/>
  <c r="AJ65" i="11"/>
  <c r="AZ65" i="11"/>
  <c r="BP65" i="11"/>
  <c r="CF65" i="11"/>
  <c r="N66" i="11"/>
  <c r="AD66" i="11"/>
  <c r="AT66" i="11"/>
  <c r="BJ66" i="11"/>
  <c r="BZ66" i="11"/>
  <c r="CB43" i="11"/>
  <c r="AV46" i="11"/>
  <c r="BB47" i="11"/>
  <c r="Q48" i="11"/>
  <c r="BA48" i="11"/>
  <c r="W49" i="11"/>
  <c r="BF49" i="11"/>
  <c r="R50" i="11"/>
  <c r="BL50" i="11"/>
  <c r="L51" i="11"/>
  <c r="BF51" i="11"/>
  <c r="AZ52" i="11"/>
  <c r="AK53" i="11"/>
  <c r="BR53" i="11"/>
  <c r="AB54" i="11"/>
  <c r="BI54" i="11"/>
  <c r="S55" i="11"/>
  <c r="AZ55" i="11"/>
  <c r="AK56" i="11"/>
  <c r="CC56" i="11"/>
  <c r="Z57" i="11"/>
  <c r="BH57" i="11"/>
  <c r="CK57" i="11"/>
  <c r="AF58" i="11"/>
  <c r="BN58" i="11"/>
  <c r="CI58" i="11"/>
  <c r="Z59" i="11"/>
  <c r="AT59" i="11"/>
  <c r="BN59" i="11"/>
  <c r="AC43" i="11"/>
  <c r="BZ43" i="11"/>
  <c r="AB44" i="11"/>
  <c r="BY44" i="11"/>
  <c r="AH45" i="11"/>
  <c r="CE45" i="11"/>
  <c r="AT46" i="11"/>
  <c r="CK46" i="11"/>
  <c r="AZ47" i="11"/>
  <c r="CJ47" i="11"/>
  <c r="AY48" i="11"/>
  <c r="N49" i="11"/>
  <c r="BD49" i="11"/>
  <c r="P50" i="11"/>
  <c r="AX50" i="11"/>
  <c r="AX51" i="11"/>
  <c r="AR52" i="11"/>
  <c r="BY52" i="11"/>
  <c r="AI53" i="11"/>
  <c r="BP53" i="11"/>
  <c r="Z54" i="11"/>
  <c r="BG54" i="11"/>
  <c r="AX55" i="11"/>
  <c r="CJ55" i="11"/>
  <c r="AI56" i="11"/>
  <c r="BP56" i="11"/>
  <c r="X57" i="11"/>
  <c r="AZ57" i="11"/>
  <c r="CI57" i="11"/>
  <c r="AB58" i="11"/>
  <c r="BL58" i="11"/>
  <c r="CG58" i="11"/>
  <c r="X59" i="11"/>
  <c r="AR59" i="11"/>
  <c r="BL59" i="11"/>
  <c r="CJ59" i="11"/>
  <c r="V60" i="11"/>
  <c r="AP60" i="11"/>
  <c r="BJ60" i="11"/>
  <c r="CE60" i="11"/>
  <c r="P61" i="11"/>
  <c r="AI61" i="11"/>
  <c r="BB61" i="11"/>
  <c r="BX61" i="11"/>
  <c r="AB62" i="11"/>
  <c r="AU62" i="11"/>
  <c r="BP62" i="11"/>
  <c r="CJ62" i="11"/>
  <c r="U63" i="11"/>
  <c r="AN63" i="11"/>
  <c r="BH63" i="11"/>
  <c r="CC63" i="11"/>
  <c r="N64" i="11"/>
  <c r="AG64" i="11"/>
  <c r="AZ64" i="11"/>
  <c r="BV64" i="11"/>
  <c r="U65" i="11"/>
  <c r="AK65" i="11"/>
  <c r="BA65" i="11"/>
  <c r="BQ65" i="11"/>
  <c r="CG65" i="11"/>
  <c r="O66" i="11"/>
  <c r="AE66" i="11"/>
  <c r="AU66" i="11"/>
  <c r="BK66" i="11"/>
  <c r="CA66" i="11"/>
  <c r="AD43" i="11"/>
  <c r="CA43" i="11"/>
  <c r="AC44" i="11"/>
  <c r="CG44" i="11"/>
  <c r="AV45" i="11"/>
  <c r="CF45" i="11"/>
  <c r="AU46" i="11"/>
  <c r="BA47" i="11"/>
  <c r="P48" i="11"/>
  <c r="AZ48" i="11"/>
  <c r="O49" i="11"/>
  <c r="BE49" i="11"/>
  <c r="Q50" i="11"/>
  <c r="BE50" i="11"/>
  <c r="AY51" i="11"/>
  <c r="AS52" i="11"/>
  <c r="CF52" i="11"/>
  <c r="AJ53" i="11"/>
  <c r="BQ53" i="11"/>
  <c r="AA54" i="11"/>
  <c r="BH54" i="11"/>
  <c r="R55" i="11"/>
  <c r="AY55" i="11"/>
  <c r="CK55" i="11"/>
  <c r="AJ56" i="11"/>
  <c r="CB56" i="11"/>
  <c r="Y57" i="11"/>
  <c r="BB57" i="11"/>
  <c r="CJ57" i="11"/>
  <c r="AD58" i="11"/>
  <c r="BM58" i="11"/>
  <c r="CH58" i="11"/>
  <c r="Y59" i="11"/>
  <c r="AS59" i="11"/>
  <c r="BM59" i="11"/>
  <c r="CK59" i="11"/>
  <c r="W60" i="11"/>
  <c r="AQ60" i="11"/>
  <c r="BL60" i="11"/>
  <c r="CF60" i="11"/>
  <c r="Q61" i="11"/>
  <c r="AJ61" i="11"/>
  <c r="BD61" i="11"/>
  <c r="BY61" i="11"/>
  <c r="AC62" i="11"/>
  <c r="AV62" i="11"/>
  <c r="BR62" i="11"/>
  <c r="CK62" i="11"/>
  <c r="V63" i="11"/>
  <c r="AO63" i="11"/>
  <c r="BJ63" i="11"/>
  <c r="CD63" i="11"/>
  <c r="O64" i="11"/>
  <c r="AH64" i="11"/>
  <c r="BB64" i="11"/>
  <c r="BW64" i="11"/>
  <c r="V65" i="11"/>
  <c r="AL65" i="11"/>
  <c r="BB65" i="11"/>
  <c r="BR65" i="11"/>
  <c r="CH65" i="11"/>
  <c r="P66" i="11"/>
  <c r="AF66" i="11"/>
  <c r="AV66" i="11"/>
  <c r="BL66" i="11"/>
  <c r="CB66" i="11"/>
  <c r="AG43" i="11"/>
  <c r="CD43" i="11"/>
  <c r="AS44" i="11"/>
  <c r="CJ44" i="11"/>
  <c r="AY45" i="11"/>
  <c r="CI45" i="11"/>
  <c r="BE46" i="11"/>
  <c r="T47" i="11"/>
  <c r="BD47" i="11"/>
  <c r="S48" i="11"/>
  <c r="BJ48" i="11"/>
  <c r="Y49" i="11"/>
  <c r="BT49" i="11"/>
  <c r="T50" i="11"/>
  <c r="BN50" i="11"/>
  <c r="N51" i="11"/>
  <c r="BH51" i="11"/>
  <c r="T52" i="11"/>
  <c r="BB52" i="11"/>
  <c r="AM53" i="11"/>
  <c r="CE53" i="11"/>
  <c r="AD54" i="11"/>
  <c r="BV54" i="11"/>
  <c r="U55" i="11"/>
  <c r="BB55" i="11"/>
  <c r="L56" i="11"/>
  <c r="AS56" i="11"/>
  <c r="CE56" i="11"/>
  <c r="AB57" i="11"/>
  <c r="BJ57" i="11"/>
  <c r="AM58" i="11"/>
  <c r="BP58" i="11"/>
  <c r="AB59" i="11"/>
  <c r="AV59" i="11"/>
  <c r="BT59" i="11"/>
  <c r="Z60" i="11"/>
  <c r="AV60" i="11"/>
  <c r="BP60" i="11"/>
  <c r="CI60" i="11"/>
  <c r="T61" i="11"/>
  <c r="AN61" i="11"/>
  <c r="BI61" i="11"/>
  <c r="CB61" i="11"/>
  <c r="M62" i="11"/>
  <c r="AF62" i="11"/>
  <c r="BB62" i="11"/>
  <c r="BU62" i="11"/>
  <c r="Y63" i="11"/>
  <c r="AT63" i="11"/>
  <c r="BN63" i="11"/>
  <c r="CG63" i="11"/>
  <c r="R64" i="11"/>
  <c r="AL64" i="11"/>
  <c r="BG64" i="11"/>
  <c r="BZ64" i="11"/>
  <c r="Y65" i="11"/>
  <c r="AO65" i="11"/>
  <c r="BE65" i="11"/>
  <c r="BU65" i="11"/>
  <c r="CK65" i="11"/>
  <c r="S66" i="11"/>
  <c r="AI66" i="11"/>
  <c r="AY66" i="11"/>
  <c r="BO66" i="11"/>
  <c r="CE66" i="11"/>
  <c r="AU43" i="11"/>
  <c r="CE43" i="11"/>
  <c r="BA44" i="11"/>
  <c r="CK44" i="11"/>
  <c r="AZ45" i="11"/>
  <c r="O46" i="11"/>
  <c r="BF46" i="11"/>
  <c r="U47" i="11"/>
  <c r="BE47" i="11"/>
  <c r="T48" i="11"/>
  <c r="BQ48" i="11"/>
  <c r="Z49" i="11"/>
  <c r="BU49" i="11"/>
  <c r="U50" i="11"/>
  <c r="BO50" i="11"/>
  <c r="AA51" i="11"/>
  <c r="BI51" i="11"/>
  <c r="U52" i="11"/>
  <c r="BC52" i="11"/>
  <c r="AT53" i="11"/>
  <c r="CF53" i="11"/>
  <c r="AE54" i="11"/>
  <c r="BW54" i="11"/>
  <c r="V55" i="11"/>
  <c r="BN55" i="11"/>
  <c r="M56" i="11"/>
  <c r="AT56" i="11"/>
  <c r="CF56" i="11"/>
  <c r="AC57" i="11"/>
  <c r="BK57" i="11"/>
  <c r="AN58" i="11"/>
  <c r="BQ58" i="11"/>
  <c r="AC59" i="11"/>
  <c r="AW59" i="11"/>
  <c r="BU59" i="11"/>
  <c r="AA60" i="11"/>
  <c r="AX60" i="11"/>
  <c r="BQ60" i="11"/>
  <c r="CJ60" i="11"/>
  <c r="U61" i="11"/>
  <c r="AP61" i="11"/>
  <c r="BJ61" i="11"/>
  <c r="CC61" i="11"/>
  <c r="N62" i="11"/>
  <c r="AH62" i="11"/>
  <c r="BC62" i="11"/>
  <c r="BV62" i="11"/>
  <c r="Z63" i="11"/>
  <c r="AV63" i="11"/>
  <c r="BO63" i="11"/>
  <c r="CH63" i="11"/>
  <c r="S64" i="11"/>
  <c r="AN64" i="11"/>
  <c r="BH64" i="11"/>
  <c r="CA64" i="11"/>
  <c r="Z65" i="11"/>
  <c r="AP65" i="11"/>
  <c r="BF65" i="11"/>
  <c r="BV65" i="11"/>
  <c r="T66" i="11"/>
  <c r="AJ66" i="11"/>
  <c r="AZ66" i="11"/>
  <c r="BP66" i="11"/>
  <c r="CF66" i="11"/>
  <c r="R45" i="11"/>
  <c r="BB45" i="11"/>
  <c r="Q46" i="11"/>
  <c r="BH46" i="11"/>
  <c r="W47" i="11"/>
  <c r="BT47" i="11"/>
  <c r="AC48" i="11"/>
  <c r="BZ48" i="11"/>
  <c r="AB49" i="11"/>
  <c r="BW49" i="11"/>
  <c r="AI50" i="11"/>
  <c r="BQ50" i="11"/>
  <c r="AC51" i="11"/>
  <c r="AV43" i="11"/>
  <c r="BB44" i="11"/>
  <c r="BA45" i="11"/>
  <c r="P46" i="11"/>
  <c r="BG46" i="11"/>
  <c r="V47" i="11"/>
  <c r="BF47" i="11"/>
  <c r="U48" i="11"/>
  <c r="BY48" i="11"/>
  <c r="AA49" i="11"/>
  <c r="BV49" i="11"/>
  <c r="V50" i="11"/>
  <c r="BP50" i="11"/>
  <c r="AB51" i="11"/>
  <c r="BJ51" i="11"/>
  <c r="V52" i="11"/>
  <c r="BD52" i="11"/>
  <c r="N53" i="11"/>
  <c r="AU53" i="11"/>
  <c r="CG53" i="11"/>
  <c r="AF54" i="11"/>
  <c r="BX54" i="11"/>
  <c r="W55" i="11"/>
  <c r="BO55" i="11"/>
  <c r="N56" i="11"/>
  <c r="AZ56" i="11"/>
  <c r="CG56" i="11"/>
  <c r="AD57" i="11"/>
  <c r="BN57" i="11"/>
  <c r="AO58" i="11"/>
  <c r="BR58" i="11"/>
  <c r="AD59" i="11"/>
  <c r="AX59" i="11"/>
  <c r="BV59" i="11"/>
  <c r="AB60" i="11"/>
  <c r="AY60" i="11"/>
  <c r="BR60" i="11"/>
  <c r="CK60" i="11"/>
  <c r="V61" i="11"/>
  <c r="AR61" i="11"/>
  <c r="BK61" i="11"/>
  <c r="CD61" i="11"/>
  <c r="O62" i="11"/>
  <c r="AJ62" i="11"/>
  <c r="BD62" i="11"/>
  <c r="BW62" i="11"/>
  <c r="AB63" i="11"/>
  <c r="AW63" i="11"/>
  <c r="BP63" i="11"/>
  <c r="CI63" i="11"/>
  <c r="T64" i="11"/>
  <c r="AP64" i="11"/>
  <c r="BI64" i="11"/>
  <c r="CB64" i="11"/>
  <c r="AA65" i="11"/>
  <c r="AQ65" i="11"/>
  <c r="BG65" i="11"/>
  <c r="BW65" i="11"/>
  <c r="U66" i="11"/>
  <c r="AK66" i="11"/>
  <c r="BA66" i="11"/>
  <c r="BQ66" i="11"/>
  <c r="CG66" i="11"/>
  <c r="AE43" i="11"/>
  <c r="CH44" i="11"/>
  <c r="BI46" i="11"/>
  <c r="CA48" i="11"/>
  <c r="BR50" i="11"/>
  <c r="Z52" i="11"/>
  <c r="CD53" i="11"/>
  <c r="X55" i="11"/>
  <c r="BH56" i="11"/>
  <c r="BS57" i="11"/>
  <c r="CA58" i="11"/>
  <c r="BP59" i="11"/>
  <c r="AR60" i="11"/>
  <c r="BL61" i="11"/>
  <c r="AD62" i="11"/>
  <c r="BZ62" i="11"/>
  <c r="AX63" i="11"/>
  <c r="P64" i="11"/>
  <c r="BL64" i="11"/>
  <c r="AB65" i="11"/>
  <c r="BS65" i="11"/>
  <c r="X66" i="11"/>
  <c r="BR66" i="11"/>
  <c r="AF43" i="11"/>
  <c r="CI44" i="11"/>
  <c r="BW46" i="11"/>
  <c r="CB48" i="11"/>
  <c r="BS50" i="11"/>
  <c r="BA52" i="11"/>
  <c r="CH53" i="11"/>
  <c r="Y55" i="11"/>
  <c r="BI56" i="11"/>
  <c r="BT57" i="11"/>
  <c r="CJ58" i="11"/>
  <c r="BW59" i="11"/>
  <c r="AT60" i="11"/>
  <c r="BM61" i="11"/>
  <c r="AE62" i="11"/>
  <c r="CA62" i="11"/>
  <c r="AY63" i="11"/>
  <c r="Q64" i="11"/>
  <c r="BM64" i="11"/>
  <c r="AC65" i="11"/>
  <c r="BT65" i="11"/>
  <c r="Y66" i="11"/>
  <c r="BS66" i="11"/>
  <c r="P53" i="11"/>
  <c r="BK45" i="11"/>
  <c r="AR58" i="11"/>
  <c r="CG61" i="11"/>
  <c r="BS63" i="11"/>
  <c r="AQ64" i="11"/>
  <c r="CJ66" i="11"/>
  <c r="AW43" i="11"/>
  <c r="S45" i="11"/>
  <c r="BX46" i="11"/>
  <c r="CC48" i="11"/>
  <c r="BT50" i="11"/>
  <c r="BP52" i="11"/>
  <c r="CI53" i="11"/>
  <c r="Z55" i="11"/>
  <c r="BJ56" i="11"/>
  <c r="BX59" i="11"/>
  <c r="AZ60" i="11"/>
  <c r="R61" i="11"/>
  <c r="BN61" i="11"/>
  <c r="AL62" i="11"/>
  <c r="AZ63" i="11"/>
  <c r="V64" i="11"/>
  <c r="BX64" i="11"/>
  <c r="AD65" i="11"/>
  <c r="BX65" i="11"/>
  <c r="AG66" i="11"/>
  <c r="BT66" i="11"/>
  <c r="BU47" i="11"/>
  <c r="AX43" i="11"/>
  <c r="T45" i="11"/>
  <c r="S47" i="11"/>
  <c r="X49" i="11"/>
  <c r="M51" i="11"/>
  <c r="BQ52" i="11"/>
  <c r="AL55" i="11"/>
  <c r="CD56" i="11"/>
  <c r="L59" i="11"/>
  <c r="BY59" i="11"/>
  <c r="BA60" i="11"/>
  <c r="S61" i="11"/>
  <c r="BO61" i="11"/>
  <c r="AM62" i="11"/>
  <c r="BA63" i="11"/>
  <c r="X64" i="11"/>
  <c r="BY64" i="11"/>
  <c r="AE65" i="11"/>
  <c r="BY65" i="11"/>
  <c r="AH66" i="11"/>
  <c r="BU66" i="11"/>
  <c r="BK51" i="11"/>
  <c r="AY43" i="11"/>
  <c r="U45" i="11"/>
  <c r="X47" i="11"/>
  <c r="AC49" i="11"/>
  <c r="AD51" i="11"/>
  <c r="BR52" i="11"/>
  <c r="BA55" i="11"/>
  <c r="R58" i="11"/>
  <c r="M59" i="11"/>
  <c r="BZ59" i="11"/>
  <c r="BB60" i="11"/>
  <c r="X61" i="11"/>
  <c r="BZ61" i="11"/>
  <c r="AN62" i="11"/>
  <c r="BL63" i="11"/>
  <c r="Z64" i="11"/>
  <c r="CC64" i="11"/>
  <c r="AM65" i="11"/>
  <c r="BZ65" i="11"/>
  <c r="AL66" i="11"/>
  <c r="CC66" i="11"/>
  <c r="AX45" i="11"/>
  <c r="BG43" i="11"/>
  <c r="AW45" i="11"/>
  <c r="Y47" i="11"/>
  <c r="AQ49" i="11"/>
  <c r="AE51" i="11"/>
  <c r="BS52" i="11"/>
  <c r="AC54" i="11"/>
  <c r="BP55" i="11"/>
  <c r="S58" i="11"/>
  <c r="N59" i="11"/>
  <c r="BC60" i="11"/>
  <c r="Z61" i="11"/>
  <c r="CA61" i="11"/>
  <c r="AO62" i="11"/>
  <c r="BM63" i="11"/>
  <c r="AA64" i="11"/>
  <c r="CD64" i="11"/>
  <c r="AN65" i="11"/>
  <c r="CA65" i="11"/>
  <c r="AM66" i="11"/>
  <c r="CD66" i="11"/>
  <c r="CC43" i="11"/>
  <c r="BC47" i="11"/>
  <c r="BG51" i="11"/>
  <c r="AN54" i="11"/>
  <c r="AL58" i="11"/>
  <c r="AC61" i="11"/>
  <c r="CF61" i="11"/>
  <c r="N63" i="11"/>
  <c r="BR63" i="11"/>
  <c r="CF64" i="11"/>
  <c r="CJ65" i="11"/>
  <c r="CI66" i="11"/>
  <c r="BX49" i="11"/>
  <c r="Z47" i="11"/>
  <c r="AR49" i="11"/>
  <c r="AF51" i="11"/>
  <c r="AG54" i="11"/>
  <c r="BQ55" i="11"/>
  <c r="T58" i="11"/>
  <c r="AA59" i="11"/>
  <c r="BN60" i="11"/>
  <c r="AB61" i="11"/>
  <c r="CE61" i="11"/>
  <c r="AX62" i="11"/>
  <c r="L63" i="11"/>
  <c r="BQ63" i="11"/>
  <c r="AI64" i="11"/>
  <c r="CE64" i="11"/>
  <c r="AR65" i="11"/>
  <c r="CI65" i="11"/>
  <c r="AN66" i="11"/>
  <c r="CH66" i="11"/>
  <c r="BC45" i="11"/>
  <c r="BS49" i="11"/>
  <c r="O53" i="11"/>
  <c r="BR55" i="11"/>
  <c r="AE59" i="11"/>
  <c r="BO60" i="11"/>
  <c r="AZ62" i="11"/>
  <c r="AJ64" i="11"/>
  <c r="AS65" i="11"/>
  <c r="AO66" i="11"/>
  <c r="U44" i="11"/>
  <c r="V44" i="11"/>
  <c r="BL45" i="11"/>
  <c r="BV47" i="11"/>
  <c r="BY49" i="11"/>
  <c r="BL51" i="11"/>
  <c r="Q53" i="11"/>
  <c r="AU54" i="11"/>
  <c r="AN57" i="11"/>
  <c r="AT58" i="11"/>
  <c r="AG59" i="11"/>
  <c r="L60" i="11"/>
  <c r="BT60" i="11"/>
  <c r="AL61" i="11"/>
  <c r="CH61" i="11"/>
  <c r="BF62" i="11"/>
  <c r="X63" i="11"/>
  <c r="BT63" i="11"/>
  <c r="AR64" i="11"/>
  <c r="AU65" i="11"/>
  <c r="AX66" i="11"/>
  <c r="CK66" i="11"/>
  <c r="AK44" i="11"/>
  <c r="CG45" i="11"/>
  <c r="BW47" i="11"/>
  <c r="BZ49" i="11"/>
  <c r="BY51" i="11"/>
  <c r="R53" i="11"/>
  <c r="BJ54" i="11"/>
  <c r="O56" i="11"/>
  <c r="AO57" i="11"/>
  <c r="AV58" i="11"/>
  <c r="AH59" i="11"/>
  <c r="X60" i="11"/>
  <c r="BU60" i="11"/>
  <c r="AS61" i="11"/>
  <c r="BG62" i="11"/>
  <c r="AD63" i="11"/>
  <c r="CE63" i="11"/>
  <c r="AS64" i="11"/>
  <c r="L65" i="11"/>
  <c r="BC65" i="11"/>
  <c r="BB66" i="11"/>
  <c r="AA46" i="11"/>
  <c r="AL50" i="11"/>
  <c r="X52" i="11"/>
  <c r="BC53" i="11"/>
  <c r="CB54" i="11"/>
  <c r="AR56" i="11"/>
  <c r="BP57" i="11"/>
  <c r="BT58" i="11"/>
  <c r="BE59" i="11"/>
  <c r="AI60" i="11"/>
  <c r="BF61" i="11"/>
  <c r="T62" i="11"/>
  <c r="BX62" i="11"/>
  <c r="AP63" i="11"/>
  <c r="W65" i="11"/>
  <c r="BJ65" i="11"/>
  <c r="BM66" i="11"/>
  <c r="BF44" i="11"/>
  <c r="BI48" i="11"/>
  <c r="BM50" i="11"/>
  <c r="Y52" i="11"/>
  <c r="BJ53" i="11"/>
  <c r="T55" i="11"/>
  <c r="BA56" i="11"/>
  <c r="BR57" i="11"/>
  <c r="BZ58" i="11"/>
  <c r="BF59" i="11"/>
  <c r="AJ60" i="11"/>
  <c r="BH61" i="11"/>
  <c r="V62" i="11"/>
  <c r="BY62" i="11"/>
  <c r="AR63" i="11"/>
  <c r="BK64" i="11"/>
  <c r="X65" i="11"/>
  <c r="BK65" i="11"/>
  <c r="W66" i="11"/>
  <c r="BN66" i="11"/>
  <c r="AT54" i="11"/>
  <c r="AR44" i="11"/>
  <c r="CH45" i="11"/>
  <c r="R48" i="11"/>
  <c r="S50" i="11"/>
  <c r="BZ51" i="11"/>
  <c r="AL53" i="11"/>
  <c r="BY54" i="11"/>
  <c r="P56" i="11"/>
  <c r="AP57" i="11"/>
  <c r="AW58" i="11"/>
  <c r="AU59" i="11"/>
  <c r="Y60" i="11"/>
  <c r="BV60" i="11"/>
  <c r="AT61" i="11"/>
  <c r="L62" i="11"/>
  <c r="BH62" i="11"/>
  <c r="AF63" i="11"/>
  <c r="CF63" i="11"/>
  <c r="AT64" i="11"/>
  <c r="M65" i="11"/>
  <c r="BD65" i="11"/>
  <c r="BC66" i="11"/>
  <c r="BC44" i="11"/>
  <c r="Y46" i="11"/>
  <c r="AD48" i="11"/>
  <c r="AJ50" i="11"/>
  <c r="M52" i="11"/>
  <c r="AV53" i="11"/>
  <c r="BZ54" i="11"/>
  <c r="Q56" i="11"/>
  <c r="AQ57" i="11"/>
  <c r="BO58" i="11"/>
  <c r="AZ59" i="11"/>
  <c r="AD60" i="11"/>
  <c r="CG60" i="11"/>
  <c r="AU61" i="11"/>
  <c r="P62" i="11"/>
  <c r="BS62" i="11"/>
  <c r="AG63" i="11"/>
  <c r="CJ63" i="11"/>
  <c r="BD64" i="11"/>
  <c r="N65" i="11"/>
  <c r="BH65" i="11"/>
  <c r="Q66" i="11"/>
  <c r="BD66" i="11"/>
  <c r="BD44" i="11"/>
  <c r="Z46" i="11"/>
  <c r="AE48" i="11"/>
  <c r="AK50" i="11"/>
  <c r="W52" i="11"/>
  <c r="BB53" i="11"/>
  <c r="CA54" i="11"/>
  <c r="R56" i="11"/>
  <c r="BI57" i="11"/>
  <c r="BS58" i="11"/>
  <c r="BD59" i="11"/>
  <c r="AH60" i="11"/>
  <c r="CH60" i="11"/>
  <c r="AV61" i="11"/>
  <c r="R62" i="11"/>
  <c r="BT62" i="11"/>
  <c r="AH63" i="11"/>
  <c r="CK63" i="11"/>
  <c r="BF64" i="11"/>
  <c r="O65" i="11"/>
  <c r="BI65" i="11"/>
  <c r="R66" i="11"/>
  <c r="BE66" i="11"/>
  <c r="BE44" i="11"/>
  <c r="BS55" i="11"/>
  <c r="AF59" i="11"/>
  <c r="BS60" i="11"/>
  <c r="AK61" i="11"/>
  <c r="BE62" i="11"/>
  <c r="W63" i="11"/>
  <c r="AT65" i="11"/>
  <c r="AW66" i="11"/>
  <c r="AF48" i="11"/>
  <c r="BJ64" i="11"/>
  <c r="V66" i="11"/>
  <c r="AW46" i="11"/>
  <c r="AA57" i="11"/>
  <c r="CD42" i="11"/>
  <c r="BN42" i="11"/>
  <c r="AX42" i="11"/>
  <c r="AH42" i="11"/>
  <c r="R42" i="11"/>
  <c r="BX41" i="11"/>
  <c r="BH41" i="11"/>
  <c r="AR41" i="11"/>
  <c r="AB41" i="11"/>
  <c r="L41" i="11"/>
  <c r="CH40" i="11"/>
  <c r="BR40" i="11"/>
  <c r="BB40" i="11"/>
  <c r="AL40" i="11"/>
  <c r="V40" i="11"/>
  <c r="CB39" i="11"/>
  <c r="BL39" i="11"/>
  <c r="AV39" i="11"/>
  <c r="AF39" i="11"/>
  <c r="P39" i="11"/>
  <c r="BV38" i="11"/>
  <c r="BF38" i="11"/>
  <c r="AP38" i="11"/>
  <c r="Z38" i="11"/>
  <c r="CF37" i="11"/>
  <c r="BP37" i="11"/>
  <c r="AZ37" i="11"/>
  <c r="AJ37" i="11"/>
  <c r="T37" i="11"/>
  <c r="CC42" i="11"/>
  <c r="BM42" i="11"/>
  <c r="AW42" i="11"/>
  <c r="AG42" i="11"/>
  <c r="Q42" i="11"/>
  <c r="BW41" i="11"/>
  <c r="BG41" i="11"/>
  <c r="AQ41" i="11"/>
  <c r="AA41" i="11"/>
  <c r="CG40" i="11"/>
  <c r="BQ40" i="11"/>
  <c r="BA40" i="11"/>
  <c r="AK40" i="11"/>
  <c r="U40" i="11"/>
  <c r="CA39" i="11"/>
  <c r="BK39" i="11"/>
  <c r="AU39" i="11"/>
  <c r="AE39" i="11"/>
  <c r="O39" i="11"/>
  <c r="CK38" i="11"/>
  <c r="BU38" i="11"/>
  <c r="BE38" i="11"/>
  <c r="AO38" i="11"/>
  <c r="Y38" i="11"/>
  <c r="CE37" i="11"/>
  <c r="BO37" i="11"/>
  <c r="AY37" i="11"/>
  <c r="AI37" i="11"/>
  <c r="S37" i="11"/>
  <c r="BY36" i="11"/>
  <c r="BI36" i="11"/>
  <c r="AS36" i="11"/>
  <c r="AC36" i="11"/>
  <c r="M36" i="11"/>
  <c r="CI35" i="11"/>
  <c r="CB42" i="11"/>
  <c r="BL42" i="11"/>
  <c r="AV42" i="11"/>
  <c r="AF42" i="11"/>
  <c r="P42" i="11"/>
  <c r="BV41" i="11"/>
  <c r="BF41" i="11"/>
  <c r="AP41" i="11"/>
  <c r="Z41" i="11"/>
  <c r="CF40" i="11"/>
  <c r="BP40" i="11"/>
  <c r="AZ40" i="11"/>
  <c r="AJ40" i="11"/>
  <c r="T40" i="11"/>
  <c r="BZ39" i="11"/>
  <c r="BJ39" i="11"/>
  <c r="AT39" i="11"/>
  <c r="AD39" i="11"/>
  <c r="N39" i="11"/>
  <c r="CJ38" i="11"/>
  <c r="BT38" i="11"/>
  <c r="BD38" i="11"/>
  <c r="AN38" i="11"/>
  <c r="X38" i="11"/>
  <c r="CD37" i="11"/>
  <c r="BN37" i="11"/>
  <c r="AX37" i="11"/>
  <c r="AH37" i="11"/>
  <c r="R37" i="11"/>
  <c r="BX36" i="11"/>
  <c r="BH36" i="11"/>
  <c r="AR36" i="11"/>
  <c r="AB36" i="11"/>
  <c r="L36" i="11"/>
  <c r="CH35" i="11"/>
  <c r="BR35" i="11"/>
  <c r="CA42" i="11"/>
  <c r="BK42" i="11"/>
  <c r="AU42" i="11"/>
  <c r="AE42" i="11"/>
  <c r="O42" i="11"/>
  <c r="CK41" i="11"/>
  <c r="BU41" i="11"/>
  <c r="BE41" i="11"/>
  <c r="AO41" i="11"/>
  <c r="Y41" i="11"/>
  <c r="CE40" i="11"/>
  <c r="BO40" i="11"/>
  <c r="AY40" i="11"/>
  <c r="AI40" i="11"/>
  <c r="S40" i="11"/>
  <c r="BY39" i="11"/>
  <c r="BZ42" i="11"/>
  <c r="BJ42" i="11"/>
  <c r="AT42" i="11"/>
  <c r="AD42" i="11"/>
  <c r="N42" i="11"/>
  <c r="CJ41" i="11"/>
  <c r="BT41" i="11"/>
  <c r="BD41" i="11"/>
  <c r="AN41" i="11"/>
  <c r="X41" i="11"/>
  <c r="CD40" i="11"/>
  <c r="BN40" i="11"/>
  <c r="AX40" i="11"/>
  <c r="AH40" i="11"/>
  <c r="R40" i="11"/>
  <c r="BX39" i="11"/>
  <c r="BH39" i="11"/>
  <c r="AR39" i="11"/>
  <c r="AB39" i="11"/>
  <c r="L39" i="11"/>
  <c r="CH38" i="11"/>
  <c r="BR38" i="11"/>
  <c r="BB38" i="11"/>
  <c r="AL38" i="11"/>
  <c r="V38" i="11"/>
  <c r="CB37" i="11"/>
  <c r="BL37" i="11"/>
  <c r="AV37" i="11"/>
  <c r="AF37" i="11"/>
  <c r="BR42" i="11"/>
  <c r="AR42" i="11"/>
  <c r="W42" i="11"/>
  <c r="BP41" i="11"/>
  <c r="AU41" i="11"/>
  <c r="U41" i="11"/>
  <c r="BL40" i="11"/>
  <c r="AQ40" i="11"/>
  <c r="Q40" i="11"/>
  <c r="CJ39" i="11"/>
  <c r="BO39" i="11"/>
  <c r="AQ39" i="11"/>
  <c r="W39" i="11"/>
  <c r="BQ38" i="11"/>
  <c r="AW38" i="11"/>
  <c r="AC38" i="11"/>
  <c r="BW37" i="11"/>
  <c r="BC37" i="11"/>
  <c r="AE37" i="11"/>
  <c r="L37" i="11"/>
  <c r="CG36" i="11"/>
  <c r="BO36" i="11"/>
  <c r="AW36" i="11"/>
  <c r="AE36" i="11"/>
  <c r="CE35" i="11"/>
  <c r="BN35" i="11"/>
  <c r="AX35" i="11"/>
  <c r="AH35" i="11"/>
  <c r="R35" i="11"/>
  <c r="BX34" i="11"/>
  <c r="BH34" i="11"/>
  <c r="AR34" i="11"/>
  <c r="AB34" i="11"/>
  <c r="L34" i="11"/>
  <c r="CH33" i="11"/>
  <c r="BR33" i="11"/>
  <c r="BB33" i="11"/>
  <c r="AL33" i="11"/>
  <c r="V33" i="11"/>
  <c r="CB32" i="11"/>
  <c r="BL32" i="11"/>
  <c r="AV32" i="11"/>
  <c r="AF32" i="11"/>
  <c r="P32" i="11"/>
  <c r="BV31" i="11"/>
  <c r="BF31" i="11"/>
  <c r="AP31" i="11"/>
  <c r="Z31" i="11"/>
  <c r="CF30" i="11"/>
  <c r="BP30" i="11"/>
  <c r="AZ30" i="11"/>
  <c r="AJ30" i="11"/>
  <c r="T30" i="11"/>
  <c r="BZ29" i="11"/>
  <c r="BJ29" i="11"/>
  <c r="AT29" i="11"/>
  <c r="AD29" i="11"/>
  <c r="N29" i="11"/>
  <c r="CJ28" i="11"/>
  <c r="BT28" i="11"/>
  <c r="BD28" i="11"/>
  <c r="AN28" i="11"/>
  <c r="X28" i="11"/>
  <c r="CD27" i="11"/>
  <c r="BN27" i="11"/>
  <c r="AX27" i="11"/>
  <c r="AH27" i="11"/>
  <c r="R27" i="11"/>
  <c r="BX26" i="11"/>
  <c r="BH26" i="11"/>
  <c r="AR26" i="11"/>
  <c r="AB26" i="11"/>
  <c r="L26" i="11"/>
  <c r="CH25" i="11"/>
  <c r="BR25" i="11"/>
  <c r="BB25" i="11"/>
  <c r="AL25" i="11"/>
  <c r="V25" i="11"/>
  <c r="CB24" i="11"/>
  <c r="BL24" i="11"/>
  <c r="AV24" i="11"/>
  <c r="AF24" i="11"/>
  <c r="P24" i="11"/>
  <c r="BV23" i="11"/>
  <c r="BF23" i="11"/>
  <c r="AP23" i="11"/>
  <c r="Z23" i="11"/>
  <c r="CF22" i="11"/>
  <c r="BP22" i="11"/>
  <c r="AZ22" i="11"/>
  <c r="AJ22" i="11"/>
  <c r="T22" i="11"/>
  <c r="BZ21" i="11"/>
  <c r="BJ21" i="11"/>
  <c r="AT21" i="11"/>
  <c r="AD21" i="11"/>
  <c r="N21" i="11"/>
  <c r="CJ20" i="11"/>
  <c r="BT20" i="11"/>
  <c r="BD20" i="11"/>
  <c r="AN20" i="11"/>
  <c r="X20" i="11"/>
  <c r="CD19" i="11"/>
  <c r="BN19" i="11"/>
  <c r="AX19" i="11"/>
  <c r="AH19" i="11"/>
  <c r="R19" i="11"/>
  <c r="BX18" i="11"/>
  <c r="BH18" i="11"/>
  <c r="AR18" i="11"/>
  <c r="AB18" i="11"/>
  <c r="L18" i="11"/>
  <c r="CH17" i="11"/>
  <c r="BR17" i="11"/>
  <c r="BB17" i="11"/>
  <c r="AL17" i="11"/>
  <c r="V17" i="11"/>
  <c r="CB16" i="11"/>
  <c r="BL16" i="11"/>
  <c r="AV16" i="11"/>
  <c r="AF16" i="11"/>
  <c r="P16" i="11"/>
  <c r="BQ42" i="11"/>
  <c r="AQ42" i="11"/>
  <c r="V42" i="11"/>
  <c r="BO41" i="11"/>
  <c r="AT41" i="11"/>
  <c r="T41" i="11"/>
  <c r="CK40" i="11"/>
  <c r="BK40" i="11"/>
  <c r="AP40" i="11"/>
  <c r="P40" i="11"/>
  <c r="CI39" i="11"/>
  <c r="BN39" i="11"/>
  <c r="AP39" i="11"/>
  <c r="V39" i="11"/>
  <c r="BP38" i="11"/>
  <c r="AV38" i="11"/>
  <c r="AB38" i="11"/>
  <c r="BV37" i="11"/>
  <c r="BB37" i="11"/>
  <c r="AD37" i="11"/>
  <c r="CF36" i="11"/>
  <c r="BN36" i="11"/>
  <c r="AV36" i="11"/>
  <c r="AD36" i="11"/>
  <c r="CD35" i="11"/>
  <c r="BM35" i="11"/>
  <c r="AW35" i="11"/>
  <c r="AG35" i="11"/>
  <c r="Q35" i="11"/>
  <c r="BW34" i="11"/>
  <c r="BG34" i="11"/>
  <c r="AQ34" i="11"/>
  <c r="AA34" i="11"/>
  <c r="CG33" i="11"/>
  <c r="BQ33" i="11"/>
  <c r="BA33" i="11"/>
  <c r="AK33" i="11"/>
  <c r="U33" i="11"/>
  <c r="CA32" i="11"/>
  <c r="BK32" i="11"/>
  <c r="AU32" i="11"/>
  <c r="AE32" i="11"/>
  <c r="O32" i="11"/>
  <c r="CK31" i="11"/>
  <c r="BU31" i="11"/>
  <c r="BE31" i="11"/>
  <c r="AO31" i="11"/>
  <c r="Y31" i="11"/>
  <c r="CE30" i="11"/>
  <c r="BO30" i="11"/>
  <c r="AY30" i="11"/>
  <c r="AI30" i="11"/>
  <c r="S30" i="11"/>
  <c r="BY29" i="11"/>
  <c r="BI29" i="11"/>
  <c r="AS29" i="11"/>
  <c r="AC29" i="11"/>
  <c r="M29" i="11"/>
  <c r="CI28" i="11"/>
  <c r="BS28" i="11"/>
  <c r="BC28" i="11"/>
  <c r="AM28" i="11"/>
  <c r="W28" i="11"/>
  <c r="CC27" i="11"/>
  <c r="BM27" i="11"/>
  <c r="AW27" i="11"/>
  <c r="AG27" i="11"/>
  <c r="Q27" i="11"/>
  <c r="BW26" i="11"/>
  <c r="BG26" i="11"/>
  <c r="AQ26" i="11"/>
  <c r="AA26" i="11"/>
  <c r="CG25" i="11"/>
  <c r="BQ25" i="11"/>
  <c r="BA25" i="11"/>
  <c r="AK25" i="11"/>
  <c r="U25" i="11"/>
  <c r="CA24" i="11"/>
  <c r="BK24" i="11"/>
  <c r="AU24" i="11"/>
  <c r="AE24" i="11"/>
  <c r="O24" i="11"/>
  <c r="CK23" i="11"/>
  <c r="BU23" i="11"/>
  <c r="BE23" i="11"/>
  <c r="AO23" i="11"/>
  <c r="Y23" i="11"/>
  <c r="CE22" i="11"/>
  <c r="BO22" i="11"/>
  <c r="AY22" i="11"/>
  <c r="AI22" i="11"/>
  <c r="S22" i="11"/>
  <c r="BY21" i="11"/>
  <c r="BI21" i="11"/>
  <c r="AS21" i="11"/>
  <c r="AC21" i="11"/>
  <c r="M21" i="11"/>
  <c r="CI20" i="11"/>
  <c r="BS20" i="11"/>
  <c r="BC20" i="11"/>
  <c r="AM20" i="11"/>
  <c r="W20" i="11"/>
  <c r="CC19" i="11"/>
  <c r="BM19" i="11"/>
  <c r="AW19" i="11"/>
  <c r="AG19" i="11"/>
  <c r="Q19" i="11"/>
  <c r="BW18" i="11"/>
  <c r="BG18" i="11"/>
  <c r="AQ18" i="11"/>
  <c r="AA18" i="11"/>
  <c r="CG17" i="11"/>
  <c r="BQ17" i="11"/>
  <c r="BA17" i="11"/>
  <c r="AK17" i="11"/>
  <c r="U17" i="11"/>
  <c r="CK42" i="11"/>
  <c r="BP42" i="11"/>
  <c r="AP42" i="11"/>
  <c r="U42" i="11"/>
  <c r="CI41" i="11"/>
  <c r="BN41" i="11"/>
  <c r="AS41" i="11"/>
  <c r="S41" i="11"/>
  <c r="CJ40" i="11"/>
  <c r="BJ40" i="11"/>
  <c r="AO40" i="11"/>
  <c r="O40" i="11"/>
  <c r="CH39" i="11"/>
  <c r="BM39" i="11"/>
  <c r="AO39" i="11"/>
  <c r="U39" i="11"/>
  <c r="BO38" i="11"/>
  <c r="AU38" i="11"/>
  <c r="AA38" i="11"/>
  <c r="BU37" i="11"/>
  <c r="BA37" i="11"/>
  <c r="AC37" i="11"/>
  <c r="CE36" i="11"/>
  <c r="BM36" i="11"/>
  <c r="AU36" i="11"/>
  <c r="AA36" i="11"/>
  <c r="CC35" i="11"/>
  <c r="BL35" i="11"/>
  <c r="AV35" i="11"/>
  <c r="AF35" i="11"/>
  <c r="P35" i="11"/>
  <c r="BV34" i="11"/>
  <c r="BF34" i="11"/>
  <c r="AP34" i="11"/>
  <c r="Z34" i="11"/>
  <c r="CF33" i="11"/>
  <c r="BP33" i="11"/>
  <c r="AZ33" i="11"/>
  <c r="AJ33" i="11"/>
  <c r="T33" i="11"/>
  <c r="BZ32" i="11"/>
  <c r="BJ32" i="11"/>
  <c r="AT32" i="11"/>
  <c r="AD32" i="11"/>
  <c r="N32" i="11"/>
  <c r="CJ31" i="11"/>
  <c r="BT31" i="11"/>
  <c r="BD31" i="11"/>
  <c r="AN31" i="11"/>
  <c r="X31" i="11"/>
  <c r="CD30" i="11"/>
  <c r="BN30" i="11"/>
  <c r="AX30" i="11"/>
  <c r="AH30" i="11"/>
  <c r="R30" i="11"/>
  <c r="BX29" i="11"/>
  <c r="BH29" i="11"/>
  <c r="AR29" i="11"/>
  <c r="AB29" i="11"/>
  <c r="L29" i="11"/>
  <c r="CH28" i="11"/>
  <c r="BR28" i="11"/>
  <c r="BB28" i="11"/>
  <c r="AL28" i="11"/>
  <c r="V28" i="11"/>
  <c r="CB27" i="11"/>
  <c r="BL27" i="11"/>
  <c r="AV27" i="11"/>
  <c r="AF27" i="11"/>
  <c r="P27" i="11"/>
  <c r="BV26" i="11"/>
  <c r="BF26" i="11"/>
  <c r="AP26" i="11"/>
  <c r="Z26" i="11"/>
  <c r="CF25" i="11"/>
  <c r="BP25" i="11"/>
  <c r="AZ25" i="11"/>
  <c r="AJ25" i="11"/>
  <c r="T25" i="11"/>
  <c r="CJ42" i="11"/>
  <c r="BO42" i="11"/>
  <c r="AO42" i="11"/>
  <c r="T42" i="11"/>
  <c r="CH41" i="11"/>
  <c r="BM41" i="11"/>
  <c r="AM41" i="11"/>
  <c r="R41" i="11"/>
  <c r="CI40" i="11"/>
  <c r="BI40" i="11"/>
  <c r="AN40" i="11"/>
  <c r="N40" i="11"/>
  <c r="CG39" i="11"/>
  <c r="BI39" i="11"/>
  <c r="AN39" i="11"/>
  <c r="T39" i="11"/>
  <c r="CI38" i="11"/>
  <c r="BN38" i="11"/>
  <c r="AT38" i="11"/>
  <c r="W38" i="11"/>
  <c r="BT37" i="11"/>
  <c r="AW37" i="11"/>
  <c r="AB37" i="11"/>
  <c r="CD36" i="11"/>
  <c r="BL36" i="11"/>
  <c r="AT36" i="11"/>
  <c r="Z36" i="11"/>
  <c r="CB35" i="11"/>
  <c r="BK35" i="11"/>
  <c r="AU35" i="11"/>
  <c r="AE35" i="11"/>
  <c r="O35" i="11"/>
  <c r="CK34" i="11"/>
  <c r="BU34" i="11"/>
  <c r="BE34" i="11"/>
  <c r="AO34" i="11"/>
  <c r="Y34" i="11"/>
  <c r="CE33" i="11"/>
  <c r="BO33" i="11"/>
  <c r="AY33" i="11"/>
  <c r="AI33" i="11"/>
  <c r="S33" i="11"/>
  <c r="BY32" i="11"/>
  <c r="BI32" i="11"/>
  <c r="AS32" i="11"/>
  <c r="AC32" i="11"/>
  <c r="M32" i="11"/>
  <c r="CI31" i="11"/>
  <c r="BS31" i="11"/>
  <c r="BC31" i="11"/>
  <c r="AM31" i="11"/>
  <c r="W31" i="11"/>
  <c r="CC30" i="11"/>
  <c r="BM30" i="11"/>
  <c r="AW30" i="11"/>
  <c r="AG30" i="11"/>
  <c r="Q30" i="11"/>
  <c r="BW29" i="11"/>
  <c r="BG29" i="11"/>
  <c r="AQ29" i="11"/>
  <c r="AA29" i="11"/>
  <c r="CG28" i="11"/>
  <c r="BQ28" i="11"/>
  <c r="BA28" i="11"/>
  <c r="AK28" i="11"/>
  <c r="U28" i="11"/>
  <c r="CA27" i="11"/>
  <c r="BK27" i="11"/>
  <c r="AU27" i="11"/>
  <c r="AE27" i="11"/>
  <c r="O27" i="11"/>
  <c r="CK26" i="11"/>
  <c r="BU26" i="11"/>
  <c r="BE26" i="11"/>
  <c r="AO26" i="11"/>
  <c r="Y26" i="11"/>
  <c r="CE25" i="11"/>
  <c r="BO25" i="11"/>
  <c r="AY25" i="11"/>
  <c r="AI25" i="11"/>
  <c r="S25" i="11"/>
  <c r="BY24" i="11"/>
  <c r="BI24" i="11"/>
  <c r="AS24" i="11"/>
  <c r="AC24" i="11"/>
  <c r="M24" i="11"/>
  <c r="CI23" i="11"/>
  <c r="BS23" i="11"/>
  <c r="BC23" i="11"/>
  <c r="AM23" i="11"/>
  <c r="W23" i="11"/>
  <c r="CC22" i="11"/>
  <c r="BM22" i="11"/>
  <c r="AW22" i="11"/>
  <c r="AG22" i="11"/>
  <c r="Q22" i="11"/>
  <c r="BW21" i="11"/>
  <c r="BG21" i="11"/>
  <c r="AQ21" i="11"/>
  <c r="AA21" i="11"/>
  <c r="CI42" i="11"/>
  <c r="BI42" i="11"/>
  <c r="AN42" i="11"/>
  <c r="S42" i="11"/>
  <c r="CG41" i="11"/>
  <c r="BL41" i="11"/>
  <c r="AL41" i="11"/>
  <c r="Q41" i="11"/>
  <c r="CC40" i="11"/>
  <c r="BH40" i="11"/>
  <c r="AM40" i="11"/>
  <c r="M40" i="11"/>
  <c r="CF39" i="11"/>
  <c r="BG39" i="11"/>
  <c r="AM39" i="11"/>
  <c r="S39" i="11"/>
  <c r="CG38" i="11"/>
  <c r="BM38" i="11"/>
  <c r="AS38" i="11"/>
  <c r="U38" i="11"/>
  <c r="BS37" i="11"/>
  <c r="AU37" i="11"/>
  <c r="AA37" i="11"/>
  <c r="CC36" i="11"/>
  <c r="BK36" i="11"/>
  <c r="AQ36" i="11"/>
  <c r="Y36" i="11"/>
  <c r="CA35" i="11"/>
  <c r="BJ35" i="11"/>
  <c r="AT35" i="11"/>
  <c r="AD35" i="11"/>
  <c r="N35" i="11"/>
  <c r="CJ34" i="11"/>
  <c r="BT34" i="11"/>
  <c r="BD34" i="11"/>
  <c r="AN34" i="11"/>
  <c r="X34" i="11"/>
  <c r="CD33" i="11"/>
  <c r="BN33" i="11"/>
  <c r="AX33" i="11"/>
  <c r="AH33" i="11"/>
  <c r="R33" i="11"/>
  <c r="BX32" i="11"/>
  <c r="BH32" i="11"/>
  <c r="AR32" i="11"/>
  <c r="AB32" i="11"/>
  <c r="L32" i="11"/>
  <c r="CH31" i="11"/>
  <c r="BR31" i="11"/>
  <c r="BB31" i="11"/>
  <c r="AL31" i="11"/>
  <c r="V31" i="11"/>
  <c r="CB30" i="11"/>
  <c r="BL30" i="11"/>
  <c r="AV30" i="11"/>
  <c r="AF30" i="11"/>
  <c r="P30" i="11"/>
  <c r="BV29" i="11"/>
  <c r="BF29" i="11"/>
  <c r="AP29" i="11"/>
  <c r="Z29" i="11"/>
  <c r="CF28" i="11"/>
  <c r="BP28" i="11"/>
  <c r="AZ28" i="11"/>
  <c r="AJ28" i="11"/>
  <c r="T28" i="11"/>
  <c r="CH42" i="11"/>
  <c r="BH42" i="11"/>
  <c r="AM42" i="11"/>
  <c r="M42" i="11"/>
  <c r="CF41" i="11"/>
  <c r="BK41" i="11"/>
  <c r="AK41" i="11"/>
  <c r="P41" i="11"/>
  <c r="CB40" i="11"/>
  <c r="BG40" i="11"/>
  <c r="AG40" i="11"/>
  <c r="L40" i="11"/>
  <c r="CE39" i="11"/>
  <c r="BF39" i="11"/>
  <c r="AL39" i="11"/>
  <c r="R39" i="11"/>
  <c r="CF38" i="11"/>
  <c r="BL38" i="11"/>
  <c r="AR38" i="11"/>
  <c r="T38" i="11"/>
  <c r="BR37" i="11"/>
  <c r="AT37" i="11"/>
  <c r="Z37" i="11"/>
  <c r="CB36" i="11"/>
  <c r="BJ36" i="11"/>
  <c r="AP36" i="11"/>
  <c r="X36" i="11"/>
  <c r="BZ35" i="11"/>
  <c r="BI35" i="11"/>
  <c r="AS35" i="11"/>
  <c r="AC35" i="11"/>
  <c r="M35" i="11"/>
  <c r="CI34" i="11"/>
  <c r="BS34" i="11"/>
  <c r="BC34" i="11"/>
  <c r="AM34" i="11"/>
  <c r="W34" i="11"/>
  <c r="CC33" i="11"/>
  <c r="BM33" i="11"/>
  <c r="AW33" i="11"/>
  <c r="AG33" i="11"/>
  <c r="Q33" i="11"/>
  <c r="BW32" i="11"/>
  <c r="BG32" i="11"/>
  <c r="AQ32" i="11"/>
  <c r="AA32" i="11"/>
  <c r="CG31" i="11"/>
  <c r="BQ31" i="11"/>
  <c r="BA31" i="11"/>
  <c r="AK31" i="11"/>
  <c r="U31" i="11"/>
  <c r="CA30" i="11"/>
  <c r="BK30" i="11"/>
  <c r="AU30" i="11"/>
  <c r="AE30" i="11"/>
  <c r="O30" i="11"/>
  <c r="CK29" i="11"/>
  <c r="BU29" i="11"/>
  <c r="BE29" i="11"/>
  <c r="AO29" i="11"/>
  <c r="Y29" i="11"/>
  <c r="CE28" i="11"/>
  <c r="BO28" i="11"/>
  <c r="AY28" i="11"/>
  <c r="AI28" i="11"/>
  <c r="S28" i="11"/>
  <c r="BY27" i="11"/>
  <c r="BI27" i="11"/>
  <c r="AS27" i="11"/>
  <c r="AC27" i="11"/>
  <c r="M27" i="11"/>
  <c r="CI26" i="11"/>
  <c r="BS26" i="11"/>
  <c r="BC26" i="11"/>
  <c r="AM26" i="11"/>
  <c r="W26" i="11"/>
  <c r="CC25" i="11"/>
  <c r="BM25" i="11"/>
  <c r="AW25" i="11"/>
  <c r="AG25" i="11"/>
  <c r="Q25" i="11"/>
  <c r="BW24" i="11"/>
  <c r="BG24" i="11"/>
  <c r="AQ24" i="11"/>
  <c r="AA24" i="11"/>
  <c r="CG23" i="11"/>
  <c r="BQ23" i="11"/>
  <c r="BA23" i="11"/>
  <c r="AK23" i="11"/>
  <c r="U23" i="11"/>
  <c r="CA22" i="11"/>
  <c r="BK22" i="11"/>
  <c r="AU22" i="11"/>
  <c r="AE22" i="11"/>
  <c r="O22" i="11"/>
  <c r="CK21" i="11"/>
  <c r="BU21" i="11"/>
  <c r="BE21" i="11"/>
  <c r="AO21" i="11"/>
  <c r="Y21" i="11"/>
  <c r="CE20" i="11"/>
  <c r="BO20" i="11"/>
  <c r="AY20" i="11"/>
  <c r="CG42" i="11"/>
  <c r="BG42" i="11"/>
  <c r="AL42" i="11"/>
  <c r="L42" i="11"/>
  <c r="CE41" i="11"/>
  <c r="BJ41" i="11"/>
  <c r="AJ41" i="11"/>
  <c r="O41" i="11"/>
  <c r="CA40" i="11"/>
  <c r="BF40" i="11"/>
  <c r="AF40" i="11"/>
  <c r="CD39" i="11"/>
  <c r="BE39" i="11"/>
  <c r="AK39" i="11"/>
  <c r="Q39" i="11"/>
  <c r="CE38" i="11"/>
  <c r="BK38" i="11"/>
  <c r="AQ38" i="11"/>
  <c r="S38" i="11"/>
  <c r="CK37" i="11"/>
  <c r="BQ37" i="11"/>
  <c r="AS37" i="11"/>
  <c r="Y37" i="11"/>
  <c r="CA36" i="11"/>
  <c r="BG36" i="11"/>
  <c r="AO36" i="11"/>
  <c r="W36" i="11"/>
  <c r="BY35" i="11"/>
  <c r="BH35" i="11"/>
  <c r="AR35" i="11"/>
  <c r="AB35" i="11"/>
  <c r="L35" i="11"/>
  <c r="CH34" i="11"/>
  <c r="BR34" i="11"/>
  <c r="BB34" i="11"/>
  <c r="AL34" i="11"/>
  <c r="V34" i="11"/>
  <c r="CB33" i="11"/>
  <c r="BL33" i="11"/>
  <c r="AV33" i="11"/>
  <c r="AF33" i="11"/>
  <c r="P33" i="11"/>
  <c r="BV32" i="11"/>
  <c r="BF32" i="11"/>
  <c r="AP32" i="11"/>
  <c r="Z32" i="11"/>
  <c r="CF31" i="11"/>
  <c r="BP31" i="11"/>
  <c r="AZ31" i="11"/>
  <c r="AJ31" i="11"/>
  <c r="T31" i="11"/>
  <c r="BZ30" i="11"/>
  <c r="BJ30" i="11"/>
  <c r="AT30" i="11"/>
  <c r="AD30" i="11"/>
  <c r="N30" i="11"/>
  <c r="CJ29" i="11"/>
  <c r="BT29" i="11"/>
  <c r="BD29" i="11"/>
  <c r="AN29" i="11"/>
  <c r="X29" i="11"/>
  <c r="CD28" i="11"/>
  <c r="BN28" i="11"/>
  <c r="AX28" i="11"/>
  <c r="AH28" i="11"/>
  <c r="R28" i="11"/>
  <c r="BX27" i="11"/>
  <c r="BH27" i="11"/>
  <c r="AR27" i="11"/>
  <c r="AB27" i="11"/>
  <c r="L27" i="11"/>
  <c r="CH26" i="11"/>
  <c r="BR26" i="11"/>
  <c r="BB26" i="11"/>
  <c r="AL26" i="11"/>
  <c r="V26" i="11"/>
  <c r="CB25" i="11"/>
  <c r="BL25" i="11"/>
  <c r="AV25" i="11"/>
  <c r="AF25" i="11"/>
  <c r="P25" i="11"/>
  <c r="BV24" i="11"/>
  <c r="BF24" i="11"/>
  <c r="AP24" i="11"/>
  <c r="Z24" i="11"/>
  <c r="CF23" i="11"/>
  <c r="BP23" i="11"/>
  <c r="AZ23" i="11"/>
  <c r="AJ23" i="11"/>
  <c r="T23" i="11"/>
  <c r="CF42" i="11"/>
  <c r="BF42" i="11"/>
  <c r="AK42" i="11"/>
  <c r="CD41" i="11"/>
  <c r="BI41" i="11"/>
  <c r="AI41" i="11"/>
  <c r="N41" i="11"/>
  <c r="BZ40" i="11"/>
  <c r="BE40" i="11"/>
  <c r="AE40" i="11"/>
  <c r="CC39" i="11"/>
  <c r="BD39" i="11"/>
  <c r="AJ39" i="11"/>
  <c r="M39" i="11"/>
  <c r="CD38" i="11"/>
  <c r="BJ38" i="11"/>
  <c r="AM38" i="11"/>
  <c r="R38" i="11"/>
  <c r="CJ37" i="11"/>
  <c r="BM37" i="11"/>
  <c r="AR37" i="11"/>
  <c r="X37" i="11"/>
  <c r="BZ36" i="11"/>
  <c r="BF36" i="11"/>
  <c r="AN36" i="11"/>
  <c r="V36" i="11"/>
  <c r="CE42" i="11"/>
  <c r="BE42" i="11"/>
  <c r="AJ42" i="11"/>
  <c r="CC41" i="11"/>
  <c r="BC41" i="11"/>
  <c r="AH41" i="11"/>
  <c r="M41" i="11"/>
  <c r="BY40" i="11"/>
  <c r="BD40" i="11"/>
  <c r="AD40" i="11"/>
  <c r="BW39" i="11"/>
  <c r="BC39" i="11"/>
  <c r="AI39" i="11"/>
  <c r="CC38" i="11"/>
  <c r="BI38" i="11"/>
  <c r="AK38" i="11"/>
  <c r="Q38" i="11"/>
  <c r="CI37" i="11"/>
  <c r="BK37" i="11"/>
  <c r="AQ37" i="11"/>
  <c r="W37" i="11"/>
  <c r="BW36" i="11"/>
  <c r="BE36" i="11"/>
  <c r="AM36" i="11"/>
  <c r="U36" i="11"/>
  <c r="BW35" i="11"/>
  <c r="BY42" i="11"/>
  <c r="BD42" i="11"/>
  <c r="AI42" i="11"/>
  <c r="CB41" i="11"/>
  <c r="BB41" i="11"/>
  <c r="AG41" i="11"/>
  <c r="BX40" i="11"/>
  <c r="BC40" i="11"/>
  <c r="AC40" i="11"/>
  <c r="BW42" i="11"/>
  <c r="BB42" i="11"/>
  <c r="AB42" i="11"/>
  <c r="BZ41" i="11"/>
  <c r="AZ41" i="11"/>
  <c r="AE41" i="11"/>
  <c r="BV40" i="11"/>
  <c r="AV40" i="11"/>
  <c r="AA40" i="11"/>
  <c r="BT39" i="11"/>
  <c r="AZ39" i="11"/>
  <c r="AC39" i="11"/>
  <c r="BZ38" i="11"/>
  <c r="BC38" i="11"/>
  <c r="AH38" i="11"/>
  <c r="N38" i="11"/>
  <c r="CC37" i="11"/>
  <c r="BH37" i="11"/>
  <c r="AN37" i="11"/>
  <c r="Q37" i="11"/>
  <c r="BT36" i="11"/>
  <c r="BB36" i="11"/>
  <c r="BU42" i="11"/>
  <c r="AZ42" i="11"/>
  <c r="Z42" i="11"/>
  <c r="BS41" i="11"/>
  <c r="AX41" i="11"/>
  <c r="AC41" i="11"/>
  <c r="BT40" i="11"/>
  <c r="AT40" i="11"/>
  <c r="Y40" i="11"/>
  <c r="BR39" i="11"/>
  <c r="AX39" i="11"/>
  <c r="Z39" i="11"/>
  <c r="BX38" i="11"/>
  <c r="AZ38" i="11"/>
  <c r="AF38" i="11"/>
  <c r="L38" i="11"/>
  <c r="BZ37" i="11"/>
  <c r="BF37" i="11"/>
  <c r="BT42" i="11"/>
  <c r="AY42" i="11"/>
  <c r="Y42" i="11"/>
  <c r="BS42" i="11"/>
  <c r="BA41" i="11"/>
  <c r="BM40" i="11"/>
  <c r="BU39" i="11"/>
  <c r="AJ38" i="11"/>
  <c r="BY37" i="11"/>
  <c r="O37" i="11"/>
  <c r="BD36" i="11"/>
  <c r="Q36" i="11"/>
  <c r="BS35" i="11"/>
  <c r="AN35" i="11"/>
  <c r="CA34" i="11"/>
  <c r="AW34" i="11"/>
  <c r="S34" i="11"/>
  <c r="CA33" i="11"/>
  <c r="BD33" i="11"/>
  <c r="Z33" i="11"/>
  <c r="CK32" i="11"/>
  <c r="BN32" i="11"/>
  <c r="AJ32" i="11"/>
  <c r="BN31" i="11"/>
  <c r="AQ31" i="11"/>
  <c r="M31" i="11"/>
  <c r="BU30" i="11"/>
  <c r="AQ30" i="11"/>
  <c r="M30" i="11"/>
  <c r="CE29" i="11"/>
  <c r="BA29" i="11"/>
  <c r="W29" i="11"/>
  <c r="BH28" i="11"/>
  <c r="AD28" i="11"/>
  <c r="BR27" i="11"/>
  <c r="AP27" i="11"/>
  <c r="T27" i="11"/>
  <c r="CF26" i="11"/>
  <c r="BJ26" i="11"/>
  <c r="AH26" i="11"/>
  <c r="BV25" i="11"/>
  <c r="AT25" i="11"/>
  <c r="X25" i="11"/>
  <c r="CJ24" i="11"/>
  <c r="BO24" i="11"/>
  <c r="AO24" i="11"/>
  <c r="T24" i="11"/>
  <c r="CH23" i="11"/>
  <c r="BK23" i="11"/>
  <c r="AN23" i="11"/>
  <c r="P23" i="11"/>
  <c r="CG22" i="11"/>
  <c r="BI22" i="11"/>
  <c r="AO22" i="11"/>
  <c r="U22" i="11"/>
  <c r="BQ21" i="11"/>
  <c r="AW21" i="11"/>
  <c r="Z21" i="11"/>
  <c r="BX20" i="11"/>
  <c r="BE20" i="11"/>
  <c r="AJ20" i="11"/>
  <c r="R20" i="11"/>
  <c r="BT19" i="11"/>
  <c r="BB19" i="11"/>
  <c r="AJ19" i="11"/>
  <c r="P19" i="11"/>
  <c r="BT18" i="11"/>
  <c r="BB18" i="11"/>
  <c r="AJ18" i="11"/>
  <c r="R18" i="11"/>
  <c r="BT17" i="11"/>
  <c r="AZ17" i="11"/>
  <c r="AH17" i="11"/>
  <c r="P17" i="11"/>
  <c r="CK16" i="11"/>
  <c r="BT16" i="11"/>
  <c r="BC16" i="11"/>
  <c r="AL16" i="11"/>
  <c r="U16" i="11"/>
  <c r="BZ15" i="11"/>
  <c r="BJ15" i="11"/>
  <c r="AT15" i="11"/>
  <c r="AD15" i="11"/>
  <c r="N15" i="11"/>
  <c r="CJ14" i="11"/>
  <c r="BT14" i="11"/>
  <c r="BD14" i="11"/>
  <c r="AN14" i="11"/>
  <c r="X14" i="11"/>
  <c r="CD13" i="11"/>
  <c r="BN13" i="11"/>
  <c r="AX13" i="11"/>
  <c r="AH13" i="11"/>
  <c r="R13" i="11"/>
  <c r="BX12" i="11"/>
  <c r="BH12" i="11"/>
  <c r="AR12" i="11"/>
  <c r="AB12" i="11"/>
  <c r="L12" i="11"/>
  <c r="CH11" i="11"/>
  <c r="BR11" i="11"/>
  <c r="BB11" i="11"/>
  <c r="AL11" i="11"/>
  <c r="V11" i="11"/>
  <c r="CB10" i="11"/>
  <c r="BL10" i="11"/>
  <c r="AV10" i="11"/>
  <c r="AF10" i="11"/>
  <c r="P10" i="11"/>
  <c r="BV9" i="11"/>
  <c r="BF9" i="11"/>
  <c r="AP9" i="11"/>
  <c r="Z9" i="11"/>
  <c r="CF8" i="11"/>
  <c r="BP8" i="11"/>
  <c r="AZ8" i="11"/>
  <c r="AJ8" i="11"/>
  <c r="T8" i="11"/>
  <c r="BZ7" i="11"/>
  <c r="BJ7" i="11"/>
  <c r="AT7" i="11"/>
  <c r="AD7" i="11"/>
  <c r="N7" i="11"/>
  <c r="CJ6" i="11"/>
  <c r="BT6" i="11"/>
  <c r="BD6" i="11"/>
  <c r="AN6" i="11"/>
  <c r="X6" i="11"/>
  <c r="CD5" i="11"/>
  <c r="BN5" i="11"/>
  <c r="AX5" i="11"/>
  <c r="AH5" i="11"/>
  <c r="R5" i="11"/>
  <c r="CH4" i="11"/>
  <c r="BR4" i="11"/>
  <c r="BB4" i="11"/>
  <c r="AL4" i="11"/>
  <c r="V4" i="11"/>
  <c r="BC42" i="11"/>
  <c r="AY41" i="11"/>
  <c r="AW40" i="11"/>
  <c r="BS39" i="11"/>
  <c r="AI38" i="11"/>
  <c r="BX37" i="11"/>
  <c r="N37" i="11"/>
  <c r="BC36" i="11"/>
  <c r="P36" i="11"/>
  <c r="BQ35" i="11"/>
  <c r="AM35" i="11"/>
  <c r="BZ34" i="11"/>
  <c r="AV34" i="11"/>
  <c r="R34" i="11"/>
  <c r="BZ33" i="11"/>
  <c r="BC33" i="11"/>
  <c r="Y33" i="11"/>
  <c r="CJ32" i="11"/>
  <c r="BM32" i="11"/>
  <c r="AI32" i="11"/>
  <c r="BM31" i="11"/>
  <c r="AI31" i="11"/>
  <c r="L31" i="11"/>
  <c r="BT30" i="11"/>
  <c r="AP30" i="11"/>
  <c r="L30" i="11"/>
  <c r="CD29" i="11"/>
  <c r="AZ29" i="11"/>
  <c r="V29" i="11"/>
  <c r="CK28" i="11"/>
  <c r="BG28" i="11"/>
  <c r="AC28" i="11"/>
  <c r="BQ27" i="11"/>
  <c r="AO27" i="11"/>
  <c r="S27" i="11"/>
  <c r="CE26" i="11"/>
  <c r="BI26" i="11"/>
  <c r="AG26" i="11"/>
  <c r="BU25" i="11"/>
  <c r="AS25" i="11"/>
  <c r="W25" i="11"/>
  <c r="CI24" i="11"/>
  <c r="BN24" i="11"/>
  <c r="AN24" i="11"/>
  <c r="S24" i="11"/>
  <c r="CE23" i="11"/>
  <c r="BJ23" i="11"/>
  <c r="AL23" i="11"/>
  <c r="O23" i="11"/>
  <c r="CD22" i="11"/>
  <c r="BH22" i="11"/>
  <c r="AN22" i="11"/>
  <c r="R22" i="11"/>
  <c r="CJ21" i="11"/>
  <c r="BP21" i="11"/>
  <c r="AV21" i="11"/>
  <c r="X21" i="11"/>
  <c r="BW20" i="11"/>
  <c r="BB20" i="11"/>
  <c r="AI20" i="11"/>
  <c r="Q20" i="11"/>
  <c r="CK19" i="11"/>
  <c r="BS19" i="11"/>
  <c r="BA19" i="11"/>
  <c r="AI19" i="11"/>
  <c r="O19" i="11"/>
  <c r="CK18" i="11"/>
  <c r="BS18" i="11"/>
  <c r="BA18" i="11"/>
  <c r="AI18" i="11"/>
  <c r="Q18" i="11"/>
  <c r="CK17" i="11"/>
  <c r="BS17" i="11"/>
  <c r="AY17" i="11"/>
  <c r="AG17" i="11"/>
  <c r="O17" i="11"/>
  <c r="CJ16" i="11"/>
  <c r="BS16" i="11"/>
  <c r="BB16" i="11"/>
  <c r="AK16" i="11"/>
  <c r="T16" i="11"/>
  <c r="BY15" i="11"/>
  <c r="BI15" i="11"/>
  <c r="AS15" i="11"/>
  <c r="AC15" i="11"/>
  <c r="M15" i="11"/>
  <c r="CI14" i="11"/>
  <c r="BS14" i="11"/>
  <c r="BC14" i="11"/>
  <c r="AM14" i="11"/>
  <c r="W14" i="11"/>
  <c r="CC13" i="11"/>
  <c r="BM13" i="11"/>
  <c r="AW13" i="11"/>
  <c r="AG13" i="11"/>
  <c r="Q13" i="11"/>
  <c r="BW12" i="11"/>
  <c r="BG12" i="11"/>
  <c r="AQ12" i="11"/>
  <c r="AA12" i="11"/>
  <c r="CG11" i="11"/>
  <c r="BQ11" i="11"/>
  <c r="BA11" i="11"/>
  <c r="AK11" i="11"/>
  <c r="U11" i="11"/>
  <c r="CA10" i="11"/>
  <c r="BK10" i="11"/>
  <c r="AU10" i="11"/>
  <c r="AE10" i="11"/>
  <c r="O10" i="11"/>
  <c r="CK9" i="11"/>
  <c r="BU9" i="11"/>
  <c r="BE9" i="11"/>
  <c r="AO9" i="11"/>
  <c r="Y9" i="11"/>
  <c r="CE8" i="11"/>
  <c r="BO8" i="11"/>
  <c r="AY8" i="11"/>
  <c r="AI8" i="11"/>
  <c r="S8" i="11"/>
  <c r="BY7" i="11"/>
  <c r="BI7" i="11"/>
  <c r="AS7" i="11"/>
  <c r="AC7" i="11"/>
  <c r="M7" i="11"/>
  <c r="CI6" i="11"/>
  <c r="BS6" i="11"/>
  <c r="BC6" i="11"/>
  <c r="AM6" i="11"/>
  <c r="W6" i="11"/>
  <c r="CC5" i="11"/>
  <c r="BM5" i="11"/>
  <c r="AW5" i="11"/>
  <c r="AG5" i="11"/>
  <c r="Q5" i="11"/>
  <c r="CG4" i="11"/>
  <c r="BQ4" i="11"/>
  <c r="BA4" i="11"/>
  <c r="AK4" i="11"/>
  <c r="U4" i="11"/>
  <c r="BA42" i="11"/>
  <c r="AW41" i="11"/>
  <c r="AU40" i="11"/>
  <c r="BQ39" i="11"/>
  <c r="AG38" i="11"/>
  <c r="BJ37" i="11"/>
  <c r="M37" i="11"/>
  <c r="BA36" i="11"/>
  <c r="O36" i="11"/>
  <c r="BP35" i="11"/>
  <c r="AL35" i="11"/>
  <c r="BY34" i="11"/>
  <c r="AU34" i="11"/>
  <c r="Q34" i="11"/>
  <c r="BY33" i="11"/>
  <c r="AU33" i="11"/>
  <c r="X33" i="11"/>
  <c r="CI32" i="11"/>
  <c r="BE32" i="11"/>
  <c r="AH32" i="11"/>
  <c r="BL31" i="11"/>
  <c r="AH31" i="11"/>
  <c r="BS30" i="11"/>
  <c r="AO30" i="11"/>
  <c r="CC29" i="11"/>
  <c r="AY29" i="11"/>
  <c r="U29" i="11"/>
  <c r="CC28" i="11"/>
  <c r="BF28" i="11"/>
  <c r="AB28" i="11"/>
  <c r="BP27" i="11"/>
  <c r="AN27" i="11"/>
  <c r="N27" i="11"/>
  <c r="CD26" i="11"/>
  <c r="BD26" i="11"/>
  <c r="AF26" i="11"/>
  <c r="BT25" i="11"/>
  <c r="AR25" i="11"/>
  <c r="R25" i="11"/>
  <c r="CH24" i="11"/>
  <c r="BM24" i="11"/>
  <c r="AM24" i="11"/>
  <c r="R24" i="11"/>
  <c r="CD23" i="11"/>
  <c r="BI23" i="11"/>
  <c r="AI23" i="11"/>
  <c r="N23" i="11"/>
  <c r="CB22" i="11"/>
  <c r="BG22" i="11"/>
  <c r="AM22" i="11"/>
  <c r="P22" i="11"/>
  <c r="CI21" i="11"/>
  <c r="BO21" i="11"/>
  <c r="AU21" i="11"/>
  <c r="W21" i="11"/>
  <c r="BV20" i="11"/>
  <c r="BA20" i="11"/>
  <c r="AH20" i="11"/>
  <c r="P20" i="11"/>
  <c r="CJ19" i="11"/>
  <c r="BR19" i="11"/>
  <c r="AZ19" i="11"/>
  <c r="AF19" i="11"/>
  <c r="N19" i="11"/>
  <c r="CJ18" i="11"/>
  <c r="BR18" i="11"/>
  <c r="AZ18" i="11"/>
  <c r="AH18" i="11"/>
  <c r="P18" i="11"/>
  <c r="CJ17" i="11"/>
  <c r="BP17" i="11"/>
  <c r="AX17" i="11"/>
  <c r="AF17" i="11"/>
  <c r="N17" i="11"/>
  <c r="CI16" i="11"/>
  <c r="BR16" i="11"/>
  <c r="BA16" i="11"/>
  <c r="AJ16" i="11"/>
  <c r="S16" i="11"/>
  <c r="BX15" i="11"/>
  <c r="BH15" i="11"/>
  <c r="AR15" i="11"/>
  <c r="AB15" i="11"/>
  <c r="L15" i="11"/>
  <c r="CH14" i="11"/>
  <c r="BR14" i="11"/>
  <c r="BB14" i="11"/>
  <c r="AL14" i="11"/>
  <c r="V14" i="11"/>
  <c r="CB13" i="11"/>
  <c r="BL13" i="11"/>
  <c r="AV13" i="11"/>
  <c r="AF13" i="11"/>
  <c r="P13" i="11"/>
  <c r="BV12" i="11"/>
  <c r="BF12" i="11"/>
  <c r="AP12" i="11"/>
  <c r="Z12" i="11"/>
  <c r="CF11" i="11"/>
  <c r="BP11" i="11"/>
  <c r="AZ11" i="11"/>
  <c r="AJ11" i="11"/>
  <c r="T11" i="11"/>
  <c r="BZ10" i="11"/>
  <c r="BJ10" i="11"/>
  <c r="AT10" i="11"/>
  <c r="AD10" i="11"/>
  <c r="N10" i="11"/>
  <c r="CJ9" i="11"/>
  <c r="BT9" i="11"/>
  <c r="BD9" i="11"/>
  <c r="AN9" i="11"/>
  <c r="X9" i="11"/>
  <c r="CD8" i="11"/>
  <c r="BN8" i="11"/>
  <c r="AX8" i="11"/>
  <c r="AH8" i="11"/>
  <c r="R8" i="11"/>
  <c r="BX7" i="11"/>
  <c r="BH7" i="11"/>
  <c r="AS42" i="11"/>
  <c r="AV41" i="11"/>
  <c r="AS40" i="11"/>
  <c r="BP39" i="11"/>
  <c r="AE38" i="11"/>
  <c r="BI37" i="11"/>
  <c r="AZ36" i="11"/>
  <c r="N36" i="11"/>
  <c r="BO35" i="11"/>
  <c r="AK35" i="11"/>
  <c r="BQ34" i="11"/>
  <c r="AT34" i="11"/>
  <c r="P34" i="11"/>
  <c r="BX33" i="11"/>
  <c r="AT33" i="11"/>
  <c r="W33" i="11"/>
  <c r="CH32" i="11"/>
  <c r="BD32" i="11"/>
  <c r="AG32" i="11"/>
  <c r="BK31" i="11"/>
  <c r="AG31" i="11"/>
  <c r="BR30" i="11"/>
  <c r="AN30" i="11"/>
  <c r="CB29" i="11"/>
  <c r="AX29" i="11"/>
  <c r="T29" i="11"/>
  <c r="CB28" i="11"/>
  <c r="BE28" i="11"/>
  <c r="AA28" i="11"/>
  <c r="CK27" i="11"/>
  <c r="BO27" i="11"/>
  <c r="AM27" i="11"/>
  <c r="CC26" i="11"/>
  <c r="BA26" i="11"/>
  <c r="AE26" i="11"/>
  <c r="BS25" i="11"/>
  <c r="AQ25" i="11"/>
  <c r="O25" i="11"/>
  <c r="CG24" i="11"/>
  <c r="BJ24" i="11"/>
  <c r="AL24" i="11"/>
  <c r="Q24" i="11"/>
  <c r="CC23" i="11"/>
  <c r="BH23" i="11"/>
  <c r="AH23" i="11"/>
  <c r="M23" i="11"/>
  <c r="BZ22" i="11"/>
  <c r="BF22" i="11"/>
  <c r="AL22" i="11"/>
  <c r="N22" i="11"/>
  <c r="CH21" i="11"/>
  <c r="BN21" i="11"/>
  <c r="AR21" i="11"/>
  <c r="V21" i="11"/>
  <c r="BU20" i="11"/>
  <c r="AZ20" i="11"/>
  <c r="AG20" i="11"/>
  <c r="O20" i="11"/>
  <c r="CI19" i="11"/>
  <c r="BQ19" i="11"/>
  <c r="AY19" i="11"/>
  <c r="AE19" i="11"/>
  <c r="M19" i="11"/>
  <c r="CI18" i="11"/>
  <c r="BQ18" i="11"/>
  <c r="AY18" i="11"/>
  <c r="AG18" i="11"/>
  <c r="O18" i="11"/>
  <c r="CI17" i="11"/>
  <c r="BO17" i="11"/>
  <c r="AW17" i="11"/>
  <c r="AE17" i="11"/>
  <c r="M17" i="11"/>
  <c r="CH16" i="11"/>
  <c r="BQ16" i="11"/>
  <c r="AZ16" i="11"/>
  <c r="AI16" i="11"/>
  <c r="R16" i="11"/>
  <c r="BW15" i="11"/>
  <c r="BG15" i="11"/>
  <c r="AQ15" i="11"/>
  <c r="AA15" i="11"/>
  <c r="CG14" i="11"/>
  <c r="BQ14" i="11"/>
  <c r="BA14" i="11"/>
  <c r="AK14" i="11"/>
  <c r="U14" i="11"/>
  <c r="CA13" i="11"/>
  <c r="BK13" i="11"/>
  <c r="AU13" i="11"/>
  <c r="AE13" i="11"/>
  <c r="O13" i="11"/>
  <c r="CK12" i="11"/>
  <c r="BU12" i="11"/>
  <c r="BE12" i="11"/>
  <c r="AO12" i="11"/>
  <c r="Y12" i="11"/>
  <c r="CE11" i="11"/>
  <c r="BO11" i="11"/>
  <c r="AY11" i="11"/>
  <c r="AI11" i="11"/>
  <c r="S11" i="11"/>
  <c r="BY10" i="11"/>
  <c r="BI10" i="11"/>
  <c r="AS10" i="11"/>
  <c r="AC10" i="11"/>
  <c r="M10" i="11"/>
  <c r="CI9" i="11"/>
  <c r="BS9" i="11"/>
  <c r="BC9" i="11"/>
  <c r="AM9" i="11"/>
  <c r="W9" i="11"/>
  <c r="CC8" i="11"/>
  <c r="BM8" i="11"/>
  <c r="AW8" i="11"/>
  <c r="AG8" i="11"/>
  <c r="Q8" i="11"/>
  <c r="AC42" i="11"/>
  <c r="AF41" i="11"/>
  <c r="AR40" i="11"/>
  <c r="BB39" i="11"/>
  <c r="AD38" i="11"/>
  <c r="BG37" i="11"/>
  <c r="AY36" i="11"/>
  <c r="BG35" i="11"/>
  <c r="AJ35" i="11"/>
  <c r="BP34" i="11"/>
  <c r="AS34" i="11"/>
  <c r="O34" i="11"/>
  <c r="BW33" i="11"/>
  <c r="AS33" i="11"/>
  <c r="O33" i="11"/>
  <c r="CG32" i="11"/>
  <c r="BC32" i="11"/>
  <c r="Y32" i="11"/>
  <c r="BJ31" i="11"/>
  <c r="AF31" i="11"/>
  <c r="BQ30" i="11"/>
  <c r="AM30" i="11"/>
  <c r="CA29" i="11"/>
  <c r="AW29" i="11"/>
  <c r="S29" i="11"/>
  <c r="CA28" i="11"/>
  <c r="AW28" i="11"/>
  <c r="Z28" i="11"/>
  <c r="CJ27" i="11"/>
  <c r="BJ27" i="11"/>
  <c r="AL27" i="11"/>
  <c r="CB26" i="11"/>
  <c r="AZ26" i="11"/>
  <c r="AD26" i="11"/>
  <c r="BN25" i="11"/>
  <c r="AP25" i="11"/>
  <c r="N25" i="11"/>
  <c r="CF24" i="11"/>
  <c r="BH24" i="11"/>
  <c r="AK24" i="11"/>
  <c r="N24" i="11"/>
  <c r="CB23" i="11"/>
  <c r="BG23" i="11"/>
  <c r="AG23" i="11"/>
  <c r="L23" i="11"/>
  <c r="BY22" i="11"/>
  <c r="BE22" i="11"/>
  <c r="AK22" i="11"/>
  <c r="M22" i="11"/>
  <c r="CG21" i="11"/>
  <c r="BM21" i="11"/>
  <c r="AP21" i="11"/>
  <c r="U21" i="11"/>
  <c r="BR20" i="11"/>
  <c r="AX20" i="11"/>
  <c r="AF20" i="11"/>
  <c r="N20" i="11"/>
  <c r="CH19" i="11"/>
  <c r="BP19" i="11"/>
  <c r="AV19" i="11"/>
  <c r="AD19" i="11"/>
  <c r="L19" i="11"/>
  <c r="CH18" i="11"/>
  <c r="BP18" i="11"/>
  <c r="AX18" i="11"/>
  <c r="AF18" i="11"/>
  <c r="N18" i="11"/>
  <c r="CF17" i="11"/>
  <c r="BN17" i="11"/>
  <c r="AV17" i="11"/>
  <c r="AD17" i="11"/>
  <c r="L17" i="11"/>
  <c r="CG16" i="11"/>
  <c r="BP16" i="11"/>
  <c r="AY16" i="11"/>
  <c r="AH16" i="11"/>
  <c r="Q16" i="11"/>
  <c r="BV15" i="11"/>
  <c r="BF15" i="11"/>
  <c r="AP15" i="11"/>
  <c r="Z15" i="11"/>
  <c r="CF14" i="11"/>
  <c r="BP14" i="11"/>
  <c r="AZ14" i="11"/>
  <c r="AJ14" i="11"/>
  <c r="T14" i="11"/>
  <c r="BZ13" i="11"/>
  <c r="BJ13" i="11"/>
  <c r="AT13" i="11"/>
  <c r="AD13" i="11"/>
  <c r="N13" i="11"/>
  <c r="CJ12" i="11"/>
  <c r="BT12" i="11"/>
  <c r="BD12" i="11"/>
  <c r="AN12" i="11"/>
  <c r="X12" i="11"/>
  <c r="CD11" i="11"/>
  <c r="BN11" i="11"/>
  <c r="AX11" i="11"/>
  <c r="AH11" i="11"/>
  <c r="R11" i="11"/>
  <c r="BX10" i="11"/>
  <c r="BH10" i="11"/>
  <c r="AR10" i="11"/>
  <c r="AB10" i="11"/>
  <c r="L10" i="11"/>
  <c r="CH9" i="11"/>
  <c r="BR9" i="11"/>
  <c r="BB9" i="11"/>
  <c r="AL9" i="11"/>
  <c r="V9" i="11"/>
  <c r="CB8" i="11"/>
  <c r="BL8" i="11"/>
  <c r="AV8" i="11"/>
  <c r="AF8" i="11"/>
  <c r="P8" i="11"/>
  <c r="BV7" i="11"/>
  <c r="BF7" i="11"/>
  <c r="AP7" i="11"/>
  <c r="Z7" i="11"/>
  <c r="CF6" i="11"/>
  <c r="BP6" i="11"/>
  <c r="AZ6" i="11"/>
  <c r="AJ6" i="11"/>
  <c r="T6" i="11"/>
  <c r="BZ5" i="11"/>
  <c r="BJ5" i="11"/>
  <c r="AT5" i="11"/>
  <c r="AD5" i="11"/>
  <c r="N5" i="11"/>
  <c r="CD4" i="11"/>
  <c r="BN4" i="11"/>
  <c r="AX4" i="11"/>
  <c r="AH4" i="11"/>
  <c r="R4" i="11"/>
  <c r="AA42" i="11"/>
  <c r="AD41" i="11"/>
  <c r="AB40" i="11"/>
  <c r="BA39" i="11"/>
  <c r="P38" i="11"/>
  <c r="BE37" i="11"/>
  <c r="AX36" i="11"/>
  <c r="BF35" i="11"/>
  <c r="AI35" i="11"/>
  <c r="BO34" i="11"/>
  <c r="AK34" i="11"/>
  <c r="N34" i="11"/>
  <c r="BV33" i="11"/>
  <c r="AR33" i="11"/>
  <c r="N33" i="11"/>
  <c r="CF32" i="11"/>
  <c r="BB32" i="11"/>
  <c r="X32" i="11"/>
  <c r="BI31" i="11"/>
  <c r="AE31" i="11"/>
  <c r="BI30" i="11"/>
  <c r="AL30" i="11"/>
  <c r="BS29" i="11"/>
  <c r="AV29" i="11"/>
  <c r="R29" i="11"/>
  <c r="BZ28" i="11"/>
  <c r="AV28" i="11"/>
  <c r="Y28" i="11"/>
  <c r="CI27" i="11"/>
  <c r="BG27" i="11"/>
  <c r="AK27" i="11"/>
  <c r="CA26" i="11"/>
  <c r="AY26" i="11"/>
  <c r="AC26" i="11"/>
  <c r="BK25" i="11"/>
  <c r="AO25" i="11"/>
  <c r="M25" i="11"/>
  <c r="CE24" i="11"/>
  <c r="BE24" i="11"/>
  <c r="AJ24" i="11"/>
  <c r="L24" i="11"/>
  <c r="CA23" i="11"/>
  <c r="BD23" i="11"/>
  <c r="AF23" i="11"/>
  <c r="BX22" i="11"/>
  <c r="BD22" i="11"/>
  <c r="AH22" i="11"/>
  <c r="L22" i="11"/>
  <c r="CF21" i="11"/>
  <c r="BL21" i="11"/>
  <c r="AN21" i="11"/>
  <c r="T21" i="11"/>
  <c r="BQ20" i="11"/>
  <c r="AW20" i="11"/>
  <c r="AE20" i="11"/>
  <c r="M20" i="11"/>
  <c r="CG19" i="11"/>
  <c r="BO19" i="11"/>
  <c r="AU19" i="11"/>
  <c r="AC19" i="11"/>
  <c r="CG18" i="11"/>
  <c r="BO18" i="11"/>
  <c r="AW18" i="11"/>
  <c r="AE18" i="11"/>
  <c r="M18" i="11"/>
  <c r="CE17" i="11"/>
  <c r="BM17" i="11"/>
  <c r="AU17" i="11"/>
  <c r="AC17" i="11"/>
  <c r="CF16" i="11"/>
  <c r="BO16" i="11"/>
  <c r="AX16" i="11"/>
  <c r="AG16" i="11"/>
  <c r="O16" i="11"/>
  <c r="CK15" i="11"/>
  <c r="BU15" i="11"/>
  <c r="BE15" i="11"/>
  <c r="AO15" i="11"/>
  <c r="Y15" i="11"/>
  <c r="CE14" i="11"/>
  <c r="BO14" i="11"/>
  <c r="AY14" i="11"/>
  <c r="AI14" i="11"/>
  <c r="S14" i="11"/>
  <c r="BY13" i="11"/>
  <c r="BI13" i="11"/>
  <c r="AS13" i="11"/>
  <c r="AC13" i="11"/>
  <c r="M13" i="11"/>
  <c r="CI12" i="11"/>
  <c r="BS12" i="11"/>
  <c r="BC12" i="11"/>
  <c r="AM12" i="11"/>
  <c r="W12" i="11"/>
  <c r="CC11" i="11"/>
  <c r="BM11" i="11"/>
  <c r="AW11" i="11"/>
  <c r="AG11" i="11"/>
  <c r="Q11" i="11"/>
  <c r="BW10" i="11"/>
  <c r="BG10" i="11"/>
  <c r="AQ10" i="11"/>
  <c r="AA10" i="11"/>
  <c r="CG9" i="11"/>
  <c r="BQ9" i="11"/>
  <c r="BA9" i="11"/>
  <c r="AK9" i="11"/>
  <c r="U9" i="11"/>
  <c r="CA8" i="11"/>
  <c r="BK8" i="11"/>
  <c r="AU8" i="11"/>
  <c r="AE8" i="11"/>
  <c r="O8" i="11"/>
  <c r="CK7" i="11"/>
  <c r="BU7" i="11"/>
  <c r="BE7" i="11"/>
  <c r="AO7" i="11"/>
  <c r="Y7" i="11"/>
  <c r="CE6" i="11"/>
  <c r="BO6" i="11"/>
  <c r="AY6" i="11"/>
  <c r="AI6" i="11"/>
  <c r="S6" i="11"/>
  <c r="BY5" i="11"/>
  <c r="X42" i="11"/>
  <c r="W41" i="11"/>
  <c r="Z40" i="11"/>
  <c r="AY39" i="11"/>
  <c r="CB38" i="11"/>
  <c r="O38" i="11"/>
  <c r="BD37" i="11"/>
  <c r="CK36" i="11"/>
  <c r="AL36" i="11"/>
  <c r="BE35" i="11"/>
  <c r="AA35" i="11"/>
  <c r="BN34" i="11"/>
  <c r="AJ34" i="11"/>
  <c r="M34" i="11"/>
  <c r="BU33" i="11"/>
  <c r="AQ33" i="11"/>
  <c r="M33" i="11"/>
  <c r="CE32" i="11"/>
  <c r="BA32" i="11"/>
  <c r="W32" i="11"/>
  <c r="CE31" i="11"/>
  <c r="BH31" i="11"/>
  <c r="AD31" i="11"/>
  <c r="BH30" i="11"/>
  <c r="AK30" i="11"/>
  <c r="BR29" i="11"/>
  <c r="AU29" i="11"/>
  <c r="Q29" i="11"/>
  <c r="BY28" i="11"/>
  <c r="AU28" i="11"/>
  <c r="Q28" i="11"/>
  <c r="CH27" i="11"/>
  <c r="BF27" i="11"/>
  <c r="AJ27" i="11"/>
  <c r="BZ26" i="11"/>
  <c r="AX26" i="11"/>
  <c r="X26" i="11"/>
  <c r="BJ25" i="11"/>
  <c r="AN25" i="11"/>
  <c r="L25" i="11"/>
  <c r="CD24" i="11"/>
  <c r="BD24" i="11"/>
  <c r="AI24" i="11"/>
  <c r="BZ23" i="11"/>
  <c r="BB23" i="11"/>
  <c r="AE23" i="11"/>
  <c r="BW22" i="11"/>
  <c r="BC22" i="11"/>
  <c r="AF22" i="11"/>
  <c r="V41" i="11"/>
  <c r="X40" i="11"/>
  <c r="AW39" i="11"/>
  <c r="CA38" i="11"/>
  <c r="M38" i="11"/>
  <c r="AP37" i="11"/>
  <c r="CJ36" i="11"/>
  <c r="AK36" i="11"/>
  <c r="BD35" i="11"/>
  <c r="Z35" i="11"/>
  <c r="BM34" i="11"/>
  <c r="AI34" i="11"/>
  <c r="BT33" i="11"/>
  <c r="AP33" i="11"/>
  <c r="L33" i="11"/>
  <c r="CD32" i="11"/>
  <c r="AZ32" i="11"/>
  <c r="V32" i="11"/>
  <c r="CD31" i="11"/>
  <c r="BG31" i="11"/>
  <c r="AC31" i="11"/>
  <c r="CK30" i="11"/>
  <c r="BG30" i="11"/>
  <c r="AC30" i="11"/>
  <c r="BQ29" i="11"/>
  <c r="AM29" i="11"/>
  <c r="P29" i="11"/>
  <c r="BX28" i="11"/>
  <c r="AT28" i="11"/>
  <c r="P28" i="11"/>
  <c r="CG27" i="11"/>
  <c r="BE27" i="11"/>
  <c r="AI27" i="11"/>
  <c r="BY26" i="11"/>
  <c r="AW26" i="11"/>
  <c r="U26" i="11"/>
  <c r="CK25" i="11"/>
  <c r="BI25" i="11"/>
  <c r="AM25" i="11"/>
  <c r="CC24" i="11"/>
  <c r="BC24" i="11"/>
  <c r="AH24" i="11"/>
  <c r="BY23" i="11"/>
  <c r="AY23" i="11"/>
  <c r="AD23" i="11"/>
  <c r="BV22" i="11"/>
  <c r="BB22" i="11"/>
  <c r="AD22" i="11"/>
  <c r="CD21" i="11"/>
  <c r="BH21" i="11"/>
  <c r="AL21" i="11"/>
  <c r="R21" i="11"/>
  <c r="CH20" i="11"/>
  <c r="BN20" i="11"/>
  <c r="AU20" i="11"/>
  <c r="AC20" i="11"/>
  <c r="CE19" i="11"/>
  <c r="BK19" i="11"/>
  <c r="AS19" i="11"/>
  <c r="AA19" i="11"/>
  <c r="CE18" i="11"/>
  <c r="BM18" i="11"/>
  <c r="AU18" i="11"/>
  <c r="AC18" i="11"/>
  <c r="CC17" i="11"/>
  <c r="BK17" i="11"/>
  <c r="AS17" i="11"/>
  <c r="AA17" i="11"/>
  <c r="W40" i="11"/>
  <c r="AS39" i="11"/>
  <c r="BY38" i="11"/>
  <c r="AO37" i="11"/>
  <c r="CI36" i="11"/>
  <c r="AJ36" i="11"/>
  <c r="CK35" i="11"/>
  <c r="BC35" i="11"/>
  <c r="Y35" i="11"/>
  <c r="BL34" i="11"/>
  <c r="AH34" i="11"/>
  <c r="BS33" i="11"/>
  <c r="AO33" i="11"/>
  <c r="CC32" i="11"/>
  <c r="AY32" i="11"/>
  <c r="U32" i="11"/>
  <c r="CC31" i="11"/>
  <c r="AY31" i="11"/>
  <c r="AB31" i="11"/>
  <c r="CJ30" i="11"/>
  <c r="BF30" i="11"/>
  <c r="AB30" i="11"/>
  <c r="BP29" i="11"/>
  <c r="AL29" i="11"/>
  <c r="O29" i="11"/>
  <c r="BW28" i="11"/>
  <c r="AS28" i="11"/>
  <c r="O28" i="11"/>
  <c r="CF27" i="11"/>
  <c r="BD27" i="11"/>
  <c r="AD27" i="11"/>
  <c r="BT26" i="11"/>
  <c r="AV26" i="11"/>
  <c r="T26" i="11"/>
  <c r="CJ25" i="11"/>
  <c r="BH25" i="11"/>
  <c r="AH25" i="11"/>
  <c r="BZ24" i="11"/>
  <c r="BB24" i="11"/>
  <c r="AG24" i="11"/>
  <c r="BX23" i="11"/>
  <c r="AX23" i="11"/>
  <c r="AC23" i="11"/>
  <c r="BU22" i="11"/>
  <c r="BA22" i="11"/>
  <c r="AC22" i="11"/>
  <c r="AH39" i="11"/>
  <c r="BW38" i="11"/>
  <c r="AM37" i="11"/>
  <c r="CH36" i="11"/>
  <c r="AI36" i="11"/>
  <c r="CJ35" i="11"/>
  <c r="BB35" i="11"/>
  <c r="X35" i="11"/>
  <c r="BK34" i="11"/>
  <c r="AG34" i="11"/>
  <c r="BK33" i="11"/>
  <c r="AN33" i="11"/>
  <c r="BU32" i="11"/>
  <c r="AX32" i="11"/>
  <c r="T32" i="11"/>
  <c r="CB31" i="11"/>
  <c r="AX31" i="11"/>
  <c r="AA31" i="11"/>
  <c r="CI30" i="11"/>
  <c r="BE30" i="11"/>
  <c r="AA30" i="11"/>
  <c r="BO29" i="11"/>
  <c r="AK29" i="11"/>
  <c r="AG39" i="11"/>
  <c r="BS38" i="11"/>
  <c r="AL37" i="11"/>
  <c r="BV36" i="11"/>
  <c r="AH36" i="11"/>
  <c r="CG35" i="11"/>
  <c r="BA35" i="11"/>
  <c r="W35" i="11"/>
  <c r="CG34" i="11"/>
  <c r="BJ34" i="11"/>
  <c r="AF34" i="11"/>
  <c r="BJ33" i="11"/>
  <c r="AM33" i="11"/>
  <c r="BT32" i="11"/>
  <c r="AW32" i="11"/>
  <c r="S32" i="11"/>
  <c r="CA31" i="11"/>
  <c r="AW31" i="11"/>
  <c r="S31" i="11"/>
  <c r="CH30" i="11"/>
  <c r="BD30" i="11"/>
  <c r="Z30" i="11"/>
  <c r="BN29" i="11"/>
  <c r="AJ29" i="11"/>
  <c r="BU28" i="11"/>
  <c r="AQ28" i="11"/>
  <c r="M28" i="11"/>
  <c r="BZ27" i="11"/>
  <c r="BB27" i="11"/>
  <c r="Z27" i="11"/>
  <c r="AA39" i="11"/>
  <c r="BH38" i="11"/>
  <c r="AK37" i="11"/>
  <c r="BV42" i="11"/>
  <c r="BQ41" i="11"/>
  <c r="BS40" i="11"/>
  <c r="BV39" i="11"/>
  <c r="AX38" i="11"/>
  <c r="CA37" i="11"/>
  <c r="P37" i="11"/>
  <c r="BP36" i="11"/>
  <c r="R36" i="11"/>
  <c r="BT35" i="11"/>
  <c r="AO35" i="11"/>
  <c r="CB34" i="11"/>
  <c r="S36" i="11"/>
  <c r="T34" i="11"/>
  <c r="AB33" i="11"/>
  <c r="AK32" i="11"/>
  <c r="AT31" i="11"/>
  <c r="BC30" i="11"/>
  <c r="CF29" i="11"/>
  <c r="BV28" i="11"/>
  <c r="AA27" i="11"/>
  <c r="BM26" i="11"/>
  <c r="M26" i="11"/>
  <c r="AX25" i="11"/>
  <c r="BX24" i="11"/>
  <c r="Y24" i="11"/>
  <c r="BN23" i="11"/>
  <c r="Q23" i="11"/>
  <c r="AX22" i="11"/>
  <c r="BF21" i="11"/>
  <c r="AB21" i="11"/>
  <c r="CD20" i="11"/>
  <c r="AT20" i="11"/>
  <c r="S20" i="11"/>
  <c r="BW19" i="11"/>
  <c r="AO19" i="11"/>
  <c r="BN18" i="11"/>
  <c r="AL18" i="11"/>
  <c r="BH17" i="11"/>
  <c r="Z17" i="11"/>
  <c r="BI16" i="11"/>
  <c r="AE16" i="11"/>
  <c r="CA15" i="11"/>
  <c r="AY15" i="11"/>
  <c r="W15" i="11"/>
  <c r="BK14" i="11"/>
  <c r="AO14" i="11"/>
  <c r="M14" i="11"/>
  <c r="BX13" i="11"/>
  <c r="BB13" i="11"/>
  <c r="Z13" i="11"/>
  <c r="BP12" i="11"/>
  <c r="AT12" i="11"/>
  <c r="R12" i="11"/>
  <c r="CB11" i="11"/>
  <c r="BF11" i="11"/>
  <c r="AD11" i="11"/>
  <c r="BU10" i="11"/>
  <c r="AY10" i="11"/>
  <c r="W10" i="11"/>
  <c r="BK9" i="11"/>
  <c r="AI9" i="11"/>
  <c r="M9" i="11"/>
  <c r="BW8" i="11"/>
  <c r="BA8" i="11"/>
  <c r="Y8" i="11"/>
  <c r="BQ7" i="11"/>
  <c r="AV7" i="11"/>
  <c r="X7" i="11"/>
  <c r="BV6" i="11"/>
  <c r="AX6" i="11"/>
  <c r="AD6" i="11"/>
  <c r="CA5" i="11"/>
  <c r="BF5" i="11"/>
  <c r="AM5" i="11"/>
  <c r="T5" i="11"/>
  <c r="CC4" i="11"/>
  <c r="BJ4" i="11"/>
  <c r="AQ4" i="11"/>
  <c r="X4" i="11"/>
  <c r="CH37" i="11"/>
  <c r="AA33" i="11"/>
  <c r="R32" i="11"/>
  <c r="AS31" i="11"/>
  <c r="BB30" i="11"/>
  <c r="BM29" i="11"/>
  <c r="BM28" i="11"/>
  <c r="Y27" i="11"/>
  <c r="BL26" i="11"/>
  <c r="AU25" i="11"/>
  <c r="BU24" i="11"/>
  <c r="X24" i="11"/>
  <c r="BM23" i="11"/>
  <c r="AV22" i="11"/>
  <c r="BD21" i="11"/>
  <c r="S21" i="11"/>
  <c r="CC20" i="11"/>
  <c r="AS20" i="11"/>
  <c r="L20" i="11"/>
  <c r="BV19" i="11"/>
  <c r="AN19" i="11"/>
  <c r="BL18" i="11"/>
  <c r="AK18" i="11"/>
  <c r="BG17" i="11"/>
  <c r="Y17" i="11"/>
  <c r="BH16" i="11"/>
  <c r="AD16" i="11"/>
  <c r="BT15" i="11"/>
  <c r="AX15" i="11"/>
  <c r="V15" i="11"/>
  <c r="BJ14" i="11"/>
  <c r="AH14" i="11"/>
  <c r="L14" i="11"/>
  <c r="BW13" i="11"/>
  <c r="BA13" i="11"/>
  <c r="Y13" i="11"/>
  <c r="BO12" i="11"/>
  <c r="AS12" i="11"/>
  <c r="Q12" i="11"/>
  <c r="CA11" i="11"/>
  <c r="BE11" i="11"/>
  <c r="AC11" i="11"/>
  <c r="BT10" i="11"/>
  <c r="AX10" i="11"/>
  <c r="V10" i="11"/>
  <c r="CF9" i="11"/>
  <c r="BJ9" i="11"/>
  <c r="AH9" i="11"/>
  <c r="L9" i="11"/>
  <c r="BV8" i="11"/>
  <c r="AT8" i="11"/>
  <c r="X8" i="11"/>
  <c r="BP7" i="11"/>
  <c r="AU7" i="11"/>
  <c r="W7" i="11"/>
  <c r="BU6" i="11"/>
  <c r="AW6" i="11"/>
  <c r="AC6" i="11"/>
  <c r="BX5" i="11"/>
  <c r="BE5" i="11"/>
  <c r="AL5" i="11"/>
  <c r="S5" i="11"/>
  <c r="CB4" i="11"/>
  <c r="BI4" i="11"/>
  <c r="AP4" i="11"/>
  <c r="W4" i="11"/>
  <c r="CG37" i="11"/>
  <c r="Q32" i="11"/>
  <c r="AR31" i="11"/>
  <c r="BA30" i="11"/>
  <c r="BL29" i="11"/>
  <c r="BL28" i="11"/>
  <c r="X27" i="11"/>
  <c r="BK26" i="11"/>
  <c r="AE25" i="11"/>
  <c r="BT24" i="11"/>
  <c r="W24" i="11"/>
  <c r="BL23" i="11"/>
  <c r="AT22" i="11"/>
  <c r="BC21" i="11"/>
  <c r="Q21" i="11"/>
  <c r="CB20" i="11"/>
  <c r="AR20" i="11"/>
  <c r="BU19" i="11"/>
  <c r="AM19" i="11"/>
  <c r="BK18" i="11"/>
  <c r="AD18" i="11"/>
  <c r="BF17" i="11"/>
  <c r="X17" i="11"/>
  <c r="CE16" i="11"/>
  <c r="BG16" i="11"/>
  <c r="AC16" i="11"/>
  <c r="BS15" i="11"/>
  <c r="AW15" i="11"/>
  <c r="U15" i="11"/>
  <c r="CK14" i="11"/>
  <c r="BI14" i="11"/>
  <c r="AG14" i="11"/>
  <c r="BV13" i="11"/>
  <c r="AZ13" i="11"/>
  <c r="X13" i="11"/>
  <c r="BN12" i="11"/>
  <c r="AL12" i="11"/>
  <c r="P12" i="11"/>
  <c r="BZ11" i="11"/>
  <c r="BD11" i="11"/>
  <c r="AB11" i="11"/>
  <c r="BS10" i="11"/>
  <c r="AW10" i="11"/>
  <c r="U10" i="11"/>
  <c r="CE9" i="11"/>
  <c r="BI9" i="11"/>
  <c r="AG9" i="11"/>
  <c r="BU8" i="11"/>
  <c r="AS8" i="11"/>
  <c r="W8" i="11"/>
  <c r="CJ7" i="11"/>
  <c r="BO7" i="11"/>
  <c r="AR7" i="11"/>
  <c r="V7" i="11"/>
  <c r="BR6" i="11"/>
  <c r="AV6" i="11"/>
  <c r="AB6" i="11"/>
  <c r="BW5" i="11"/>
  <c r="BD5" i="11"/>
  <c r="AK5" i="11"/>
  <c r="P5" i="11"/>
  <c r="CA4" i="11"/>
  <c r="BH4" i="11"/>
  <c r="AO4" i="11"/>
  <c r="T4" i="11"/>
  <c r="AG37" i="11"/>
  <c r="CF34" i="11"/>
  <c r="R31" i="11"/>
  <c r="AS30" i="11"/>
  <c r="BK29" i="11"/>
  <c r="BK28" i="11"/>
  <c r="W27" i="11"/>
  <c r="AU26" i="11"/>
  <c r="AD25" i="11"/>
  <c r="BS24" i="11"/>
  <c r="V24" i="11"/>
  <c r="AW23" i="11"/>
  <c r="AS22" i="11"/>
  <c r="BB21" i="11"/>
  <c r="P21" i="11"/>
  <c r="CA20" i="11"/>
  <c r="AQ20" i="11"/>
  <c r="BL19" i="11"/>
  <c r="AL19" i="11"/>
  <c r="BJ18" i="11"/>
  <c r="Z18" i="11"/>
  <c r="BE17" i="11"/>
  <c r="W17" i="11"/>
  <c r="CD16" i="11"/>
  <c r="BF16" i="11"/>
  <c r="AB16" i="11"/>
  <c r="BR15" i="11"/>
  <c r="AV15" i="11"/>
  <c r="T15" i="11"/>
  <c r="CD14" i="11"/>
  <c r="BH14" i="11"/>
  <c r="AF14" i="11"/>
  <c r="BU13" i="11"/>
  <c r="AY13" i="11"/>
  <c r="W13" i="11"/>
  <c r="BM12" i="11"/>
  <c r="AK12" i="11"/>
  <c r="O12" i="11"/>
  <c r="BY11" i="11"/>
  <c r="BC11" i="11"/>
  <c r="AA11" i="11"/>
  <c r="BR10" i="11"/>
  <c r="AP10" i="11"/>
  <c r="T10" i="11"/>
  <c r="CD9" i="11"/>
  <c r="BH9" i="11"/>
  <c r="AF9" i="11"/>
  <c r="BT8" i="11"/>
  <c r="AR8" i="11"/>
  <c r="V8" i="11"/>
  <c r="CI7" i="11"/>
  <c r="BN7" i="11"/>
  <c r="AQ7" i="11"/>
  <c r="U7" i="11"/>
  <c r="BQ6" i="11"/>
  <c r="AU6" i="11"/>
  <c r="AA6" i="11"/>
  <c r="BV5" i="11"/>
  <c r="BC5" i="11"/>
  <c r="AJ5" i="11"/>
  <c r="O5" i="11"/>
  <c r="BZ4" i="11"/>
  <c r="BG4" i="11"/>
  <c r="AN4" i="11"/>
  <c r="S4" i="11"/>
  <c r="BX42" i="11"/>
  <c r="CK39" i="11"/>
  <c r="V37" i="11"/>
  <c r="CF35" i="11"/>
  <c r="CE34" i="11"/>
  <c r="Q31" i="11"/>
  <c r="AR30" i="11"/>
  <c r="BC29" i="11"/>
  <c r="BJ28" i="11"/>
  <c r="CE27" i="11"/>
  <c r="V27" i="11"/>
  <c r="AT26" i="11"/>
  <c r="CI25" i="11"/>
  <c r="AC25" i="11"/>
  <c r="BR24" i="11"/>
  <c r="U24" i="11"/>
  <c r="AV23" i="11"/>
  <c r="AR22" i="11"/>
  <c r="BA21" i="11"/>
  <c r="O21" i="11"/>
  <c r="BZ20" i="11"/>
  <c r="AP20" i="11"/>
  <c r="BJ19" i="11"/>
  <c r="AK19" i="11"/>
  <c r="BI18" i="11"/>
  <c r="Y18" i="11"/>
  <c r="CD17" i="11"/>
  <c r="BD17" i="11"/>
  <c r="T17" i="11"/>
  <c r="CC16" i="11"/>
  <c r="BE16" i="11"/>
  <c r="AA16" i="11"/>
  <c r="BQ15" i="11"/>
  <c r="AU15" i="11"/>
  <c r="S15" i="11"/>
  <c r="CC14" i="11"/>
  <c r="BG14" i="11"/>
  <c r="AE14" i="11"/>
  <c r="BT13" i="11"/>
  <c r="AR13" i="11"/>
  <c r="V13" i="11"/>
  <c r="CH12" i="11"/>
  <c r="BL12" i="11"/>
  <c r="AJ12" i="11"/>
  <c r="N12" i="11"/>
  <c r="BX11" i="11"/>
  <c r="AV11" i="11"/>
  <c r="Z11" i="11"/>
  <c r="BQ10" i="11"/>
  <c r="AO10" i="11"/>
  <c r="S10" i="11"/>
  <c r="CC9" i="11"/>
  <c r="BG9" i="11"/>
  <c r="AE9" i="11"/>
  <c r="BS8" i="11"/>
  <c r="AQ8" i="11"/>
  <c r="U8" i="11"/>
  <c r="CH7" i="11"/>
  <c r="BM7" i="11"/>
  <c r="AN7" i="11"/>
  <c r="T7" i="11"/>
  <c r="BN6" i="11"/>
  <c r="AT6" i="11"/>
  <c r="Z6" i="11"/>
  <c r="BU5" i="11"/>
  <c r="BB5" i="11"/>
  <c r="AI5" i="11"/>
  <c r="M5" i="11"/>
  <c r="BY4" i="11"/>
  <c r="BF4" i="11"/>
  <c r="AM4" i="11"/>
  <c r="Q4" i="11"/>
  <c r="Y39" i="11"/>
  <c r="U37" i="11"/>
  <c r="BX35" i="11"/>
  <c r="CD34" i="11"/>
  <c r="CK33" i="11"/>
  <c r="P31" i="11"/>
  <c r="Y30" i="11"/>
  <c r="BB29" i="11"/>
  <c r="BI28" i="11"/>
  <c r="BW27" i="11"/>
  <c r="U27" i="11"/>
  <c r="AS26" i="11"/>
  <c r="CD25" i="11"/>
  <c r="AB25" i="11"/>
  <c r="BQ24" i="11"/>
  <c r="AU23" i="11"/>
  <c r="CK22" i="11"/>
  <c r="AQ22" i="11"/>
  <c r="AZ21" i="11"/>
  <c r="L21" i="11"/>
  <c r="BY20" i="11"/>
  <c r="AO20" i="11"/>
  <c r="BI19" i="11"/>
  <c r="AB19" i="11"/>
  <c r="BF18" i="11"/>
  <c r="X18" i="11"/>
  <c r="CB17" i="11"/>
  <c r="BC17" i="11"/>
  <c r="S17" i="11"/>
  <c r="CA16" i="11"/>
  <c r="BD16" i="11"/>
  <c r="Z16" i="11"/>
  <c r="BP15" i="11"/>
  <c r="AN15" i="11"/>
  <c r="R15" i="11"/>
  <c r="CB14" i="11"/>
  <c r="BF14" i="11"/>
  <c r="AD14" i="11"/>
  <c r="BS13" i="11"/>
  <c r="AQ13" i="11"/>
  <c r="U13" i="11"/>
  <c r="CG12" i="11"/>
  <c r="BK12" i="11"/>
  <c r="AI12" i="11"/>
  <c r="M12" i="11"/>
  <c r="BW11" i="11"/>
  <c r="AU11" i="11"/>
  <c r="Y11" i="11"/>
  <c r="BP10" i="11"/>
  <c r="AN10" i="11"/>
  <c r="R10" i="11"/>
  <c r="CB9" i="11"/>
  <c r="AZ9" i="11"/>
  <c r="AD9" i="11"/>
  <c r="BR8" i="11"/>
  <c r="AP8" i="11"/>
  <c r="N8" i="11"/>
  <c r="CG7" i="11"/>
  <c r="BL7" i="11"/>
  <c r="AM7" i="11"/>
  <c r="S7" i="11"/>
  <c r="CK6" i="11"/>
  <c r="BM6" i="11"/>
  <c r="AS6" i="11"/>
  <c r="Y6" i="11"/>
  <c r="BT5" i="11"/>
  <c r="BA5" i="11"/>
  <c r="AF5" i="11"/>
  <c r="L5" i="11"/>
  <c r="BX4" i="11"/>
  <c r="BE4" i="11"/>
  <c r="AJ4" i="11"/>
  <c r="P4" i="11"/>
  <c r="X39" i="11"/>
  <c r="BV35" i="11"/>
  <c r="CC34" i="11"/>
  <c r="CJ33" i="11"/>
  <c r="O31" i="11"/>
  <c r="X30" i="11"/>
  <c r="AI29" i="11"/>
  <c r="AR28" i="11"/>
  <c r="BV27" i="11"/>
  <c r="AN26" i="11"/>
  <c r="CA25" i="11"/>
  <c r="AA25" i="11"/>
  <c r="BP24" i="11"/>
  <c r="AT23" i="11"/>
  <c r="CJ22" i="11"/>
  <c r="AP22" i="11"/>
  <c r="CE21" i="11"/>
  <c r="AY21" i="11"/>
  <c r="BP20" i="11"/>
  <c r="AL20" i="11"/>
  <c r="BH19" i="11"/>
  <c r="Z19" i="11"/>
  <c r="BE18" i="11"/>
  <c r="W18" i="11"/>
  <c r="CA17" i="11"/>
  <c r="AT17" i="11"/>
  <c r="R17" i="11"/>
  <c r="BZ16" i="11"/>
  <c r="AW16" i="11"/>
  <c r="Y16" i="11"/>
  <c r="BO15" i="11"/>
  <c r="AM15" i="11"/>
  <c r="Q15" i="11"/>
  <c r="CA14" i="11"/>
  <c r="BE14" i="11"/>
  <c r="AC14" i="11"/>
  <c r="BR13" i="11"/>
  <c r="AP13" i="11"/>
  <c r="T13" i="11"/>
  <c r="CF12" i="11"/>
  <c r="BJ12" i="11"/>
  <c r="AH12" i="11"/>
  <c r="BV11" i="11"/>
  <c r="AT11" i="11"/>
  <c r="X11" i="11"/>
  <c r="CK10" i="11"/>
  <c r="BO10" i="11"/>
  <c r="AM10" i="11"/>
  <c r="Q10" i="11"/>
  <c r="CA9" i="11"/>
  <c r="AY9" i="11"/>
  <c r="AC9" i="11"/>
  <c r="BQ8" i="11"/>
  <c r="AO8" i="11"/>
  <c r="M8" i="11"/>
  <c r="CF7" i="11"/>
  <c r="BK7" i="11"/>
  <c r="AL7" i="11"/>
  <c r="R7" i="11"/>
  <c r="CH6" i="11"/>
  <c r="BL6" i="11"/>
  <c r="AR6" i="11"/>
  <c r="V6" i="11"/>
  <c r="BS5" i="11"/>
  <c r="AZ5" i="11"/>
  <c r="AE5" i="11"/>
  <c r="BW4" i="11"/>
  <c r="BD4" i="11"/>
  <c r="AI4" i="11"/>
  <c r="O4" i="11"/>
  <c r="BU35" i="11"/>
  <c r="BI34" i="11"/>
  <c r="CI33" i="11"/>
  <c r="BS32" i="11"/>
  <c r="N31" i="11"/>
  <c r="W30" i="11"/>
  <c r="AH29" i="11"/>
  <c r="AP28" i="11"/>
  <c r="BU27" i="11"/>
  <c r="AK26" i="11"/>
  <c r="BZ25" i="11"/>
  <c r="Z25" i="11"/>
  <c r="BA24" i="11"/>
  <c r="AS23" i="11"/>
  <c r="CI22" i="11"/>
  <c r="AB22" i="11"/>
  <c r="CC21" i="11"/>
  <c r="AX21" i="11"/>
  <c r="BM20" i="11"/>
  <c r="AK20" i="11"/>
  <c r="BG19" i="11"/>
  <c r="Y19" i="11"/>
  <c r="CF18" i="11"/>
  <c r="BD18" i="11"/>
  <c r="V18" i="11"/>
  <c r="BZ17" i="11"/>
  <c r="AR17" i="11"/>
  <c r="Q17" i="11"/>
  <c r="BY16" i="11"/>
  <c r="AU16" i="11"/>
  <c r="X16" i="11"/>
  <c r="CJ15" i="11"/>
  <c r="BN15" i="11"/>
  <c r="AL15" i="11"/>
  <c r="P15" i="11"/>
  <c r="BZ14" i="11"/>
  <c r="AX14" i="11"/>
  <c r="AB14" i="11"/>
  <c r="BQ13" i="11"/>
  <c r="AO13" i="11"/>
  <c r="S13" i="11"/>
  <c r="CE12" i="11"/>
  <c r="BI12" i="11"/>
  <c r="AG12" i="11"/>
  <c r="BU11" i="11"/>
  <c r="AS11" i="11"/>
  <c r="W11" i="11"/>
  <c r="CJ10" i="11"/>
  <c r="BN10" i="11"/>
  <c r="AL10" i="11"/>
  <c r="BZ9" i="11"/>
  <c r="AX9" i="11"/>
  <c r="AB9" i="11"/>
  <c r="BJ8" i="11"/>
  <c r="AN8" i="11"/>
  <c r="L8" i="11"/>
  <c r="CE7" i="11"/>
  <c r="BG7" i="11"/>
  <c r="AK7" i="11"/>
  <c r="Q7" i="11"/>
  <c r="CG6" i="11"/>
  <c r="BK6" i="11"/>
  <c r="AQ6" i="11"/>
  <c r="U6" i="11"/>
  <c r="BR5" i="11"/>
  <c r="AY5" i="11"/>
  <c r="AC5" i="11"/>
  <c r="BV4" i="11"/>
  <c r="BC4" i="11"/>
  <c r="AG4" i="11"/>
  <c r="N4" i="11"/>
  <c r="CA41" i="11"/>
  <c r="AZ35" i="11"/>
  <c r="BA34" i="11"/>
  <c r="BI33" i="11"/>
  <c r="BR32" i="11"/>
  <c r="V30" i="11"/>
  <c r="AG29" i="11"/>
  <c r="AO28" i="11"/>
  <c r="BT27" i="11"/>
  <c r="AJ26" i="11"/>
  <c r="BY25" i="11"/>
  <c r="Y25" i="11"/>
  <c r="AZ24" i="11"/>
  <c r="AR23" i="11"/>
  <c r="CH22" i="11"/>
  <c r="AA22" i="11"/>
  <c r="CB21" i="11"/>
  <c r="AM21" i="11"/>
  <c r="BL20" i="11"/>
  <c r="AD20" i="11"/>
  <c r="BF19" i="11"/>
  <c r="X19" i="11"/>
  <c r="CD18" i="11"/>
  <c r="BC18" i="11"/>
  <c r="U18" i="11"/>
  <c r="BY17" i="11"/>
  <c r="AQ17" i="11"/>
  <c r="BX16" i="11"/>
  <c r="AT16" i="11"/>
  <c r="W16" i="11"/>
  <c r="CI15" i="11"/>
  <c r="BM15" i="11"/>
  <c r="AK15" i="11"/>
  <c r="O15" i="11"/>
  <c r="BY14" i="11"/>
  <c r="AW14" i="11"/>
  <c r="AA14" i="11"/>
  <c r="BP13" i="11"/>
  <c r="AN13" i="11"/>
  <c r="L13" i="11"/>
  <c r="CD12" i="11"/>
  <c r="BB12" i="11"/>
  <c r="AF12" i="11"/>
  <c r="BT11" i="11"/>
  <c r="AR11" i="11"/>
  <c r="P11" i="11"/>
  <c r="CI10" i="11"/>
  <c r="BY41" i="11"/>
  <c r="BU36" i="11"/>
  <c r="AY35" i="11"/>
  <c r="AZ34" i="11"/>
  <c r="BH33" i="11"/>
  <c r="BQ32" i="11"/>
  <c r="BZ31" i="11"/>
  <c r="U30" i="11"/>
  <c r="AF29" i="11"/>
  <c r="AG28" i="11"/>
  <c r="BS27" i="11"/>
  <c r="AI26" i="11"/>
  <c r="BX25" i="11"/>
  <c r="AY24" i="11"/>
  <c r="AQ23" i="11"/>
  <c r="BT22" i="11"/>
  <c r="Z22" i="11"/>
  <c r="CA21" i="11"/>
  <c r="AK21" i="11"/>
  <c r="BK20" i="11"/>
  <c r="AB20" i="11"/>
  <c r="BE19" i="11"/>
  <c r="W19" i="11"/>
  <c r="CC18" i="11"/>
  <c r="AV18" i="11"/>
  <c r="T18" i="11"/>
  <c r="BX17" i="11"/>
  <c r="AP17" i="11"/>
  <c r="BW16" i="11"/>
  <c r="AS16" i="11"/>
  <c r="V16" i="11"/>
  <c r="CH15" i="11"/>
  <c r="BL15" i="11"/>
  <c r="AJ15" i="11"/>
  <c r="BX14" i="11"/>
  <c r="AV14" i="11"/>
  <c r="Z14" i="11"/>
  <c r="CK13" i="11"/>
  <c r="BO13" i="11"/>
  <c r="AM13" i="11"/>
  <c r="CC12" i="11"/>
  <c r="BA12" i="11"/>
  <c r="AE12" i="11"/>
  <c r="BS11" i="11"/>
  <c r="AQ11" i="11"/>
  <c r="O11" i="11"/>
  <c r="CH10" i="11"/>
  <c r="BF10" i="11"/>
  <c r="AJ10" i="11"/>
  <c r="BX9" i="11"/>
  <c r="AV9" i="11"/>
  <c r="T9" i="11"/>
  <c r="CJ8" i="11"/>
  <c r="BH8" i="11"/>
  <c r="AL8" i="11"/>
  <c r="CC7" i="11"/>
  <c r="BC7" i="11"/>
  <c r="AI7" i="11"/>
  <c r="O7" i="11"/>
  <c r="CC6" i="11"/>
  <c r="BI6" i="11"/>
  <c r="AO6" i="11"/>
  <c r="Q6" i="11"/>
  <c r="CJ5" i="11"/>
  <c r="BP5" i="11"/>
  <c r="AU5" i="11"/>
  <c r="AA5" i="11"/>
  <c r="BT4" i="11"/>
  <c r="AY4" i="11"/>
  <c r="AE4" i="11"/>
  <c r="L4" i="11"/>
  <c r="BG38" i="11"/>
  <c r="BR36" i="11"/>
  <c r="AP35" i="11"/>
  <c r="AX34" i="11"/>
  <c r="BF33" i="11"/>
  <c r="BO32" i="11"/>
  <c r="BX31" i="11"/>
  <c r="CG30" i="11"/>
  <c r="AE28" i="11"/>
  <c r="BA27" i="11"/>
  <c r="CG26" i="11"/>
  <c r="R26" i="11"/>
  <c r="BG25" i="11"/>
  <c r="AW24" i="11"/>
  <c r="CJ23" i="11"/>
  <c r="AA23" i="11"/>
  <c r="BR22" i="11"/>
  <c r="X22" i="11"/>
  <c r="BV21" i="11"/>
  <c r="AI21" i="11"/>
  <c r="BI20" i="11"/>
  <c r="Z20" i="11"/>
  <c r="CB19" i="11"/>
  <c r="BC19" i="11"/>
  <c r="U19" i="11"/>
  <c r="CA18" i="11"/>
  <c r="AS18" i="11"/>
  <c r="BV17" i="11"/>
  <c r="AN17" i="11"/>
  <c r="BU16" i="11"/>
  <c r="AQ16" i="11"/>
  <c r="M16" i="11"/>
  <c r="CF15" i="11"/>
  <c r="BD15" i="11"/>
  <c r="AH15" i="11"/>
  <c r="BV14" i="11"/>
  <c r="AT14" i="11"/>
  <c r="R14" i="11"/>
  <c r="CI13" i="11"/>
  <c r="BG13" i="11"/>
  <c r="AK13" i="11"/>
  <c r="CA12" i="11"/>
  <c r="AY12" i="11"/>
  <c r="AC12" i="11"/>
  <c r="BK11" i="11"/>
  <c r="AO11" i="11"/>
  <c r="M11" i="11"/>
  <c r="CF10" i="11"/>
  <c r="BD10" i="11"/>
  <c r="AH10" i="11"/>
  <c r="BP9" i="11"/>
  <c r="AT9" i="11"/>
  <c r="R9" i="11"/>
  <c r="CH8" i="11"/>
  <c r="BF8" i="11"/>
  <c r="AD8" i="11"/>
  <c r="BA38" i="11"/>
  <c r="BQ36" i="11"/>
  <c r="V35" i="11"/>
  <c r="AE34" i="11"/>
  <c r="BE33" i="11"/>
  <c r="AO32" i="11"/>
  <c r="BW31" i="11"/>
  <c r="BY30" i="11"/>
  <c r="N28" i="11"/>
  <c r="AZ27" i="11"/>
  <c r="BQ26" i="11"/>
  <c r="Q26" i="11"/>
  <c r="BF25" i="11"/>
  <c r="AT24" i="11"/>
  <c r="BW23" i="11"/>
  <c r="X23" i="11"/>
  <c r="BQ22" i="11"/>
  <c r="W22" i="11"/>
  <c r="BT21" i="11"/>
  <c r="AH21" i="11"/>
  <c r="BH20" i="11"/>
  <c r="Y20" i="11"/>
  <c r="CA19" i="11"/>
  <c r="AT19" i="11"/>
  <c r="T19" i="11"/>
  <c r="BZ18" i="11"/>
  <c r="AP18" i="11"/>
  <c r="BU17" i="11"/>
  <c r="AM17" i="11"/>
  <c r="BN16" i="11"/>
  <c r="AP16" i="11"/>
  <c r="L16" i="11"/>
  <c r="CE15" i="11"/>
  <c r="BC15" i="11"/>
  <c r="AG15" i="11"/>
  <c r="BU14" i="11"/>
  <c r="AS14" i="11"/>
  <c r="Q14" i="11"/>
  <c r="CH13" i="11"/>
  <c r="BF13" i="11"/>
  <c r="AJ13" i="11"/>
  <c r="BZ12" i="11"/>
  <c r="AX12" i="11"/>
  <c r="V12" i="11"/>
  <c r="BJ11" i="11"/>
  <c r="AN11" i="11"/>
  <c r="L11" i="11"/>
  <c r="CE10" i="11"/>
  <c r="BC10" i="11"/>
  <c r="AG10" i="11"/>
  <c r="BO9" i="11"/>
  <c r="AS9" i="11"/>
  <c r="Q9" i="11"/>
  <c r="CG8" i="11"/>
  <c r="BE8" i="11"/>
  <c r="AC8" i="11"/>
  <c r="BW7" i="11"/>
  <c r="AZ7" i="11"/>
  <c r="AF7" i="11"/>
  <c r="BU40" i="11"/>
  <c r="T36" i="11"/>
  <c r="S35" i="11"/>
  <c r="U34" i="11"/>
  <c r="AC33" i="11"/>
  <c r="AL32" i="11"/>
  <c r="AU31" i="11"/>
  <c r="BV30" i="11"/>
  <c r="CG29" i="11"/>
  <c r="AQ27" i="11"/>
  <c r="BN26" i="11"/>
  <c r="N26" i="11"/>
  <c r="BC25" i="11"/>
  <c r="CK24" i="11"/>
  <c r="AB24" i="11"/>
  <c r="BO23" i="11"/>
  <c r="R23" i="11"/>
  <c r="BJ22" i="11"/>
  <c r="BK21" i="11"/>
  <c r="AE21" i="11"/>
  <c r="CF20" i="11"/>
  <c r="AV20" i="11"/>
  <c r="T20" i="11"/>
  <c r="BX19" i="11"/>
  <c r="AP19" i="11"/>
  <c r="BU18" i="11"/>
  <c r="AM18" i="11"/>
  <c r="BI17" i="11"/>
  <c r="AB17" i="11"/>
  <c r="BJ16" i="11"/>
  <c r="AM16" i="11"/>
  <c r="CB15" i="11"/>
  <c r="AZ15" i="11"/>
  <c r="X15" i="11"/>
  <c r="BL14" i="11"/>
  <c r="AP14" i="11"/>
  <c r="N14" i="11"/>
  <c r="CE13" i="11"/>
  <c r="BC13" i="11"/>
  <c r="AA13" i="11"/>
  <c r="BQ12" i="11"/>
  <c r="AU12" i="11"/>
  <c r="S12" i="11"/>
  <c r="CI11" i="11"/>
  <c r="BG11" i="11"/>
  <c r="AE11" i="11"/>
  <c r="BV10" i="11"/>
  <c r="AZ10" i="11"/>
  <c r="X10" i="11"/>
  <c r="BL9" i="11"/>
  <c r="AJ9" i="11"/>
  <c r="N9" i="11"/>
  <c r="BX8" i="11"/>
  <c r="BB8" i="11"/>
  <c r="Z8" i="11"/>
  <c r="BR7" i="11"/>
  <c r="AW7" i="11"/>
  <c r="AA7" i="11"/>
  <c r="BW6" i="11"/>
  <c r="BA6" i="11"/>
  <c r="AE6" i="11"/>
  <c r="CB5" i="11"/>
  <c r="BG5" i="11"/>
  <c r="AE33" i="11"/>
  <c r="AB23" i="11"/>
  <c r="BS21" i="11"/>
  <c r="BY18" i="11"/>
  <c r="AI17" i="11"/>
  <c r="BW14" i="11"/>
  <c r="BE13" i="11"/>
  <c r="AV12" i="11"/>
  <c r="P9" i="11"/>
  <c r="AA8" i="11"/>
  <c r="AY7" i="11"/>
  <c r="CB6" i="11"/>
  <c r="AF6" i="11"/>
  <c r="BQ5" i="11"/>
  <c r="X5" i="11"/>
  <c r="CI4" i="11"/>
  <c r="AR4" i="11"/>
  <c r="AD33" i="11"/>
  <c r="BX30" i="11"/>
  <c r="BW25" i="11"/>
  <c r="V23" i="11"/>
  <c r="BR21" i="11"/>
  <c r="BV18" i="11"/>
  <c r="BN14" i="11"/>
  <c r="BD13" i="11"/>
  <c r="AD12" i="11"/>
  <c r="O9" i="11"/>
  <c r="AX7" i="11"/>
  <c r="CA6" i="11"/>
  <c r="R6" i="11"/>
  <c r="BO5" i="11"/>
  <c r="W5" i="11"/>
  <c r="CF4" i="11"/>
  <c r="AF4" i="11"/>
  <c r="BW30" i="11"/>
  <c r="BC27" i="11"/>
  <c r="BE25" i="11"/>
  <c r="S23" i="11"/>
  <c r="AJ21" i="11"/>
  <c r="AT18" i="11"/>
  <c r="CG15" i="11"/>
  <c r="BM14" i="11"/>
  <c r="AL13" i="11"/>
  <c r="U12" i="11"/>
  <c r="AJ7" i="11"/>
  <c r="BZ6" i="11"/>
  <c r="P6" i="11"/>
  <c r="BL5" i="11"/>
  <c r="V5" i="11"/>
  <c r="CE4" i="11"/>
  <c r="AD4" i="11"/>
  <c r="AQ35" i="11"/>
  <c r="AY27" i="11"/>
  <c r="BD25" i="11"/>
  <c r="AG21" i="11"/>
  <c r="CF19" i="11"/>
  <c r="AO18" i="11"/>
  <c r="CD15" i="11"/>
  <c r="AU14" i="11"/>
  <c r="AI13" i="11"/>
  <c r="T12" i="11"/>
  <c r="AH7" i="11"/>
  <c r="BY6" i="11"/>
  <c r="O6" i="11"/>
  <c r="BK5" i="11"/>
  <c r="U5" i="11"/>
  <c r="BU4" i="11"/>
  <c r="AC4" i="11"/>
  <c r="U35" i="11"/>
  <c r="AT27" i="11"/>
  <c r="AF21" i="11"/>
  <c r="BZ19" i="11"/>
  <c r="AN18" i="11"/>
  <c r="CC15" i="11"/>
  <c r="AR14" i="11"/>
  <c r="AB13" i="11"/>
  <c r="AG7" i="11"/>
  <c r="BX6" i="11"/>
  <c r="N6" i="11"/>
  <c r="BI5" i="11"/>
  <c r="BS4" i="11"/>
  <c r="AB4" i="11"/>
  <c r="T35" i="11"/>
  <c r="BP32" i="11"/>
  <c r="BY19" i="11"/>
  <c r="S18" i="11"/>
  <c r="BK15" i="11"/>
  <c r="AQ14" i="11"/>
  <c r="CG10" i="11"/>
  <c r="CK8" i="11"/>
  <c r="AE7" i="11"/>
  <c r="BJ6" i="11"/>
  <c r="M6" i="11"/>
  <c r="BH5" i="11"/>
  <c r="BP4" i="11"/>
  <c r="AA4" i="11"/>
  <c r="AY38" i="11"/>
  <c r="AN32" i="11"/>
  <c r="CI29" i="11"/>
  <c r="BS22" i="11"/>
  <c r="BD19" i="11"/>
  <c r="BV16" i="11"/>
  <c r="BB15" i="11"/>
  <c r="Y14" i="11"/>
  <c r="CD10" i="11"/>
  <c r="BY9" i="11"/>
  <c r="CI8" i="11"/>
  <c r="AB7" i="11"/>
  <c r="BH6" i="11"/>
  <c r="L6" i="11"/>
  <c r="AV5" i="11"/>
  <c r="BO4" i="11"/>
  <c r="Z4" i="11"/>
  <c r="AM32" i="11"/>
  <c r="CH29" i="11"/>
  <c r="BN22" i="11"/>
  <c r="AR19" i="11"/>
  <c r="BM16" i="11"/>
  <c r="BA15" i="11"/>
  <c r="P14" i="11"/>
  <c r="CK11" i="11"/>
  <c r="CC10" i="11"/>
  <c r="BW9" i="11"/>
  <c r="BZ8" i="11"/>
  <c r="P7" i="11"/>
  <c r="BG6" i="11"/>
  <c r="AS5" i="11"/>
  <c r="BM4" i="11"/>
  <c r="Y4" i="11"/>
  <c r="AE29" i="11"/>
  <c r="CJ26" i="11"/>
  <c r="AX24" i="11"/>
  <c r="BL22" i="11"/>
  <c r="CK20" i="11"/>
  <c r="AQ19" i="11"/>
  <c r="BK16" i="11"/>
  <c r="AI15" i="11"/>
  <c r="O14" i="11"/>
  <c r="CJ11" i="11"/>
  <c r="BM10" i="11"/>
  <c r="BN9" i="11"/>
  <c r="BY8" i="11"/>
  <c r="CD7" i="11"/>
  <c r="L7" i="11"/>
  <c r="BF6" i="11"/>
  <c r="AR5" i="11"/>
  <c r="BL4" i="11"/>
  <c r="M4" i="11"/>
  <c r="AY34" i="11"/>
  <c r="BP26" i="11"/>
  <c r="AR24" i="11"/>
  <c r="Y22" i="11"/>
  <c r="CG20" i="11"/>
  <c r="V19" i="11"/>
  <c r="AR16" i="11"/>
  <c r="AF15" i="11"/>
  <c r="BL11" i="11"/>
  <c r="BE10" i="11"/>
  <c r="BM9" i="11"/>
  <c r="BI8" i="11"/>
  <c r="CB7" i="11"/>
  <c r="BE6" i="11"/>
  <c r="AQ5" i="11"/>
  <c r="BK4" i="11"/>
  <c r="AD34" i="11"/>
  <c r="BO26" i="11"/>
  <c r="AD24" i="11"/>
  <c r="V22" i="11"/>
  <c r="BJ20" i="11"/>
  <c r="S19" i="11"/>
  <c r="AO16" i="11"/>
  <c r="AE15" i="11"/>
  <c r="BI11" i="11"/>
  <c r="BB10" i="11"/>
  <c r="AW9" i="11"/>
  <c r="BG8" i="11"/>
  <c r="CA7" i="11"/>
  <c r="BB6" i="11"/>
  <c r="CK5" i="11"/>
  <c r="AP5" i="11"/>
  <c r="AZ4" i="11"/>
  <c r="BR41" i="11"/>
  <c r="AC34" i="11"/>
  <c r="BY31" i="11"/>
  <c r="S26" i="11"/>
  <c r="BG20" i="11"/>
  <c r="BW17" i="11"/>
  <c r="AN16" i="11"/>
  <c r="CB12" i="11"/>
  <c r="BH11" i="11"/>
  <c r="BA10" i="11"/>
  <c r="AU9" i="11"/>
  <c r="BD8" i="11"/>
  <c r="BT7" i="11"/>
  <c r="AP6" i="11"/>
  <c r="CI5" i="11"/>
  <c r="AO5" i="11"/>
  <c r="AW4" i="11"/>
  <c r="BO31" i="11"/>
  <c r="AF28" i="11"/>
  <c r="P26" i="11"/>
  <c r="BF20" i="11"/>
  <c r="BL17" i="11"/>
  <c r="N16" i="11"/>
  <c r="CJ13" i="11"/>
  <c r="BY12" i="11"/>
  <c r="AP11" i="11"/>
  <c r="AK10" i="11"/>
  <c r="AR9" i="11"/>
  <c r="BC8" i="11"/>
  <c r="BS7" i="11"/>
  <c r="AL6" i="11"/>
  <c r="CH5" i="11"/>
  <c r="AN5" i="11"/>
  <c r="AV4" i="11"/>
  <c r="BS36" i="11"/>
  <c r="AV31" i="11"/>
  <c r="L28" i="11"/>
  <c r="O26" i="11"/>
  <c r="AA20" i="11"/>
  <c r="BJ17" i="11"/>
  <c r="CG13" i="11"/>
  <c r="BR12" i="11"/>
  <c r="AM11" i="11"/>
  <c r="AI10" i="11"/>
  <c r="AQ9" i="11"/>
  <c r="AM8" i="11"/>
  <c r="BD7" i="11"/>
  <c r="AK6" i="11"/>
  <c r="CG5" i="11"/>
  <c r="AB5" i="11"/>
  <c r="AU4" i="11"/>
  <c r="AG36" i="11"/>
  <c r="BT23" i="11"/>
  <c r="V20" i="11"/>
  <c r="AO17" i="11"/>
  <c r="CF13" i="11"/>
  <c r="AZ12" i="11"/>
  <c r="AF11" i="11"/>
  <c r="Z10" i="11"/>
  <c r="AA9" i="11"/>
  <c r="AK8" i="11"/>
  <c r="BB7" i="11"/>
  <c r="AH6" i="11"/>
  <c r="CF5" i="11"/>
  <c r="Z5" i="11"/>
  <c r="CK4" i="11"/>
  <c r="AT4" i="11"/>
  <c r="BW40" i="11"/>
  <c r="AF36" i="11"/>
  <c r="BG33" i="11"/>
  <c r="BR23" i="11"/>
  <c r="BX21" i="11"/>
  <c r="U20" i="11"/>
  <c r="CB18" i="11"/>
  <c r="AJ17" i="11"/>
  <c r="BH13" i="11"/>
  <c r="AW12" i="11"/>
  <c r="N11" i="11"/>
  <c r="Y10" i="11"/>
  <c r="S9" i="11"/>
  <c r="AB8" i="11"/>
  <c r="BA7" i="11"/>
  <c r="CD6" i="11"/>
  <c r="AG6" i="11"/>
  <c r="CE5" i="11"/>
  <c r="Y5" i="11"/>
  <c r="CJ4" i="11"/>
  <c r="AS4" i="11"/>
  <c r="K41" i="11"/>
  <c r="K36" i="11"/>
  <c r="K37" i="11"/>
  <c r="K34" i="11"/>
  <c r="K26" i="11"/>
  <c r="K18" i="11"/>
  <c r="K29" i="11"/>
  <c r="K21" i="11"/>
  <c r="K32" i="11"/>
  <c r="K24" i="11"/>
  <c r="K40" i="11"/>
  <c r="K42" i="11"/>
  <c r="K39" i="11"/>
  <c r="K12" i="11"/>
  <c r="K31" i="11"/>
  <c r="K30" i="11"/>
  <c r="K27" i="11"/>
  <c r="K15" i="11"/>
  <c r="K23" i="11"/>
  <c r="K19" i="11"/>
  <c r="K17" i="11"/>
  <c r="K10" i="11"/>
  <c r="K25" i="11"/>
  <c r="K20" i="11"/>
  <c r="K38" i="11"/>
  <c r="K33" i="11"/>
  <c r="K35" i="11"/>
  <c r="K14" i="11"/>
  <c r="K9" i="11"/>
  <c r="K5" i="11"/>
  <c r="K13" i="11"/>
  <c r="K6" i="11"/>
  <c r="K11" i="11"/>
  <c r="K8" i="11"/>
  <c r="K7" i="11"/>
  <c r="K4" i="11"/>
  <c r="K22" i="11"/>
  <c r="K16" i="11"/>
  <c r="K28" i="11"/>
  <c r="G43" i="11" l="1"/>
  <c r="D50" i="11"/>
  <c r="D63" i="11"/>
  <c r="D55" i="11"/>
  <c r="G59" i="11"/>
  <c r="G54" i="11"/>
  <c r="G56" i="11"/>
  <c r="D58" i="11"/>
  <c r="D53" i="11"/>
  <c r="D59" i="11"/>
  <c r="G60" i="11"/>
  <c r="G48" i="11"/>
  <c r="D66" i="11"/>
  <c r="G62" i="11"/>
  <c r="D62" i="11"/>
  <c r="G66" i="11"/>
  <c r="D57" i="11"/>
  <c r="G47" i="11"/>
  <c r="D64" i="11"/>
  <c r="D52" i="11"/>
  <c r="G52" i="11"/>
  <c r="G53" i="11"/>
  <c r="G64" i="11"/>
  <c r="G65" i="11"/>
  <c r="G49" i="11"/>
  <c r="G45" i="11"/>
  <c r="G61" i="11"/>
  <c r="D65" i="11"/>
  <c r="D61" i="11"/>
  <c r="D45" i="11"/>
  <c r="D44" i="11"/>
  <c r="D43" i="11"/>
  <c r="D48" i="11"/>
  <c r="D47" i="11"/>
  <c r="G44" i="11"/>
  <c r="D49" i="11"/>
  <c r="D56" i="11"/>
  <c r="D54" i="11"/>
  <c r="D46" i="11"/>
  <c r="G46" i="11"/>
  <c r="G58" i="11"/>
  <c r="D51" i="11"/>
  <c r="G50" i="11"/>
  <c r="G57" i="11"/>
  <c r="G51" i="11"/>
  <c r="D60" i="11"/>
  <c r="G55" i="11"/>
  <c r="G63" i="11"/>
  <c r="G30" i="11"/>
  <c r="G13" i="11"/>
  <c r="G34" i="11"/>
  <c r="G14" i="11"/>
  <c r="G35" i="11"/>
  <c r="G37" i="11"/>
  <c r="G5" i="11"/>
  <c r="G33" i="11"/>
  <c r="G39" i="11"/>
  <c r="G41" i="11"/>
  <c r="G16" i="11"/>
  <c r="G25" i="11"/>
  <c r="G24" i="11"/>
  <c r="G36" i="11"/>
  <c r="G28" i="11"/>
  <c r="G22" i="11"/>
  <c r="G10" i="11"/>
  <c r="G32" i="11"/>
  <c r="G40" i="11"/>
  <c r="G4" i="11"/>
  <c r="G17" i="11"/>
  <c r="G20" i="11"/>
  <c r="G7" i="11"/>
  <c r="G19" i="11"/>
  <c r="G21" i="11"/>
  <c r="G12" i="11"/>
  <c r="G42" i="11"/>
  <c r="G8" i="11"/>
  <c r="G23" i="11"/>
  <c r="G29" i="11"/>
  <c r="G31" i="11"/>
  <c r="G11" i="11"/>
  <c r="G15" i="11"/>
  <c r="G18" i="11"/>
  <c r="G9" i="11"/>
  <c r="G38" i="11"/>
  <c r="G6" i="11"/>
  <c r="G27" i="11"/>
  <c r="G26" i="11"/>
  <c r="D7" i="11"/>
  <c r="D30" i="11"/>
  <c r="J30" i="11" s="1"/>
  <c r="H30" i="11" s="1"/>
  <c r="K3" i="11"/>
  <c r="D40" i="11"/>
  <c r="D39" i="11"/>
  <c r="D16" i="11"/>
  <c r="D11" i="11"/>
  <c r="D8" i="11"/>
  <c r="D33" i="11"/>
  <c r="D32" i="11"/>
  <c r="D26" i="11"/>
  <c r="D27" i="11"/>
  <c r="D42" i="11"/>
  <c r="D29" i="11"/>
  <c r="D37" i="11"/>
  <c r="D6" i="11"/>
  <c r="D22" i="11"/>
  <c r="D19" i="11"/>
  <c r="D31" i="11"/>
  <c r="D12" i="11"/>
  <c r="D13" i="11"/>
  <c r="D23" i="11"/>
  <c r="D34" i="11"/>
  <c r="D41" i="11"/>
  <c r="D21" i="11"/>
  <c r="D28" i="11"/>
  <c r="D4" i="11"/>
  <c r="CF3" i="11"/>
  <c r="BP3" i="11"/>
  <c r="AZ3" i="11"/>
  <c r="AJ3" i="11"/>
  <c r="T3" i="11"/>
  <c r="CE3" i="11"/>
  <c r="BO3" i="11"/>
  <c r="AY3" i="11"/>
  <c r="AI3" i="11"/>
  <c r="S3" i="11"/>
  <c r="CA3" i="11"/>
  <c r="BI3" i="11"/>
  <c r="AQ3" i="11"/>
  <c r="Y3" i="11"/>
  <c r="BZ3" i="11"/>
  <c r="BH3" i="11"/>
  <c r="AP3" i="11"/>
  <c r="X3" i="11"/>
  <c r="BY3" i="11"/>
  <c r="BG3" i="11"/>
  <c r="AO3" i="11"/>
  <c r="W3" i="11"/>
  <c r="BX3" i="11"/>
  <c r="BF3" i="11"/>
  <c r="AN3" i="11"/>
  <c r="V3" i="11"/>
  <c r="BW3" i="11"/>
  <c r="BE3" i="11"/>
  <c r="AM3" i="11"/>
  <c r="U3" i="11"/>
  <c r="BV3" i="11"/>
  <c r="BD3" i="11"/>
  <c r="AL3" i="11"/>
  <c r="R3" i="11"/>
  <c r="BU3" i="11"/>
  <c r="BC3" i="11"/>
  <c r="AK3" i="11"/>
  <c r="Q3" i="11"/>
  <c r="BT3" i="11"/>
  <c r="BB3" i="11"/>
  <c r="AH3" i="11"/>
  <c r="P3" i="11"/>
  <c r="CJ3" i="11"/>
  <c r="BR3" i="11"/>
  <c r="AX3" i="11"/>
  <c r="AF3" i="11"/>
  <c r="BM3" i="11"/>
  <c r="AA3" i="11"/>
  <c r="BL3" i="11"/>
  <c r="Z3" i="11"/>
  <c r="BK3" i="11"/>
  <c r="O3" i="11"/>
  <c r="BJ3" i="11"/>
  <c r="N3" i="11"/>
  <c r="BA3" i="11"/>
  <c r="M3" i="11"/>
  <c r="AW3" i="11"/>
  <c r="L3" i="11"/>
  <c r="CK3" i="11"/>
  <c r="AV3" i="11"/>
  <c r="CI3" i="11"/>
  <c r="AU3" i="11"/>
  <c r="CH3" i="11"/>
  <c r="AT3" i="11"/>
  <c r="CG3" i="11"/>
  <c r="AS3" i="11"/>
  <c r="CD3" i="11"/>
  <c r="AR3" i="11"/>
  <c r="CC3" i="11"/>
  <c r="AG3" i="11"/>
  <c r="CB3" i="11"/>
  <c r="AE3" i="11"/>
  <c r="BS3" i="11"/>
  <c r="AD3" i="11"/>
  <c r="BQ3" i="11"/>
  <c r="AC3" i="11"/>
  <c r="BN3" i="11"/>
  <c r="AB3" i="11"/>
  <c r="D20" i="11"/>
  <c r="D15" i="11"/>
  <c r="D35" i="11"/>
  <c r="D18" i="11"/>
  <c r="D10" i="11"/>
  <c r="D38" i="11"/>
  <c r="D36" i="11"/>
  <c r="D5" i="11"/>
  <c r="D9" i="11"/>
  <c r="D14" i="11"/>
  <c r="D17" i="11"/>
  <c r="D25" i="11"/>
  <c r="D24" i="11"/>
  <c r="G3" i="11" l="1"/>
  <c r="F7" i="11"/>
  <c r="E7" i="11"/>
  <c r="J44" i="11"/>
  <c r="H44" i="11" s="1"/>
  <c r="I44" i="11" s="1"/>
  <c r="E44" i="11"/>
  <c r="F44" i="11"/>
  <c r="E62" i="11"/>
  <c r="J62" i="11"/>
  <c r="H62" i="11" s="1"/>
  <c r="I62" i="11" s="1"/>
  <c r="F62" i="11"/>
  <c r="E60" i="11"/>
  <c r="J60" i="11"/>
  <c r="H60" i="11" s="1"/>
  <c r="I60" i="11" s="1"/>
  <c r="F60" i="11"/>
  <c r="J45" i="11"/>
  <c r="H45" i="11" s="1"/>
  <c r="I45" i="11" s="1"/>
  <c r="E45" i="11"/>
  <c r="F45" i="11"/>
  <c r="J61" i="11"/>
  <c r="H61" i="11" s="1"/>
  <c r="I61" i="11" s="1"/>
  <c r="E61" i="11"/>
  <c r="F61" i="11"/>
  <c r="J66" i="11"/>
  <c r="H66" i="11" s="1"/>
  <c r="I66" i="11" s="1"/>
  <c r="E66" i="11"/>
  <c r="F66" i="11"/>
  <c r="E65" i="11"/>
  <c r="J65" i="11"/>
  <c r="H65" i="11" s="1"/>
  <c r="I65" i="11" s="1"/>
  <c r="F65" i="11"/>
  <c r="E51" i="11"/>
  <c r="J51" i="11"/>
  <c r="H51" i="11" s="1"/>
  <c r="I51" i="11" s="1"/>
  <c r="F51" i="11"/>
  <c r="E59" i="11"/>
  <c r="J59" i="11"/>
  <c r="H59" i="11" s="1"/>
  <c r="I59" i="11" s="1"/>
  <c r="F59" i="11"/>
  <c r="J58" i="11"/>
  <c r="H58" i="11" s="1"/>
  <c r="I58" i="11" s="1"/>
  <c r="E58" i="11"/>
  <c r="F58" i="11"/>
  <c r="E46" i="11"/>
  <c r="J46" i="11"/>
  <c r="H46" i="11" s="1"/>
  <c r="I46" i="11" s="1"/>
  <c r="F46" i="11"/>
  <c r="E54" i="11"/>
  <c r="J54" i="11"/>
  <c r="H54" i="11" s="1"/>
  <c r="I54" i="11" s="1"/>
  <c r="F54" i="11"/>
  <c r="J56" i="11"/>
  <c r="H56" i="11" s="1"/>
  <c r="I56" i="11" s="1"/>
  <c r="E56" i="11"/>
  <c r="F56" i="11"/>
  <c r="E43" i="11"/>
  <c r="J43" i="11"/>
  <c r="H43" i="11" s="1"/>
  <c r="I43" i="11" s="1"/>
  <c r="F43" i="11"/>
  <c r="E49" i="11"/>
  <c r="J49" i="11"/>
  <c r="H49" i="11" s="1"/>
  <c r="I49" i="11" s="1"/>
  <c r="F49" i="11"/>
  <c r="J52" i="11"/>
  <c r="H52" i="11" s="1"/>
  <c r="I52" i="11" s="1"/>
  <c r="E52" i="11"/>
  <c r="F52" i="11"/>
  <c r="E55" i="11"/>
  <c r="J55" i="11"/>
  <c r="H55" i="11" s="1"/>
  <c r="I55" i="11" s="1"/>
  <c r="F55" i="11"/>
  <c r="J53" i="11"/>
  <c r="H53" i="11" s="1"/>
  <c r="I53" i="11" s="1"/>
  <c r="E53" i="11"/>
  <c r="F53" i="11"/>
  <c r="E64" i="11"/>
  <c r="J64" i="11"/>
  <c r="H64" i="11" s="1"/>
  <c r="I64" i="11" s="1"/>
  <c r="F64" i="11"/>
  <c r="E63" i="11"/>
  <c r="J63" i="11"/>
  <c r="H63" i="11" s="1"/>
  <c r="I63" i="11" s="1"/>
  <c r="F63" i="11"/>
  <c r="J47" i="11"/>
  <c r="H47" i="11" s="1"/>
  <c r="I47" i="11" s="1"/>
  <c r="E47" i="11"/>
  <c r="F47" i="11"/>
  <c r="J50" i="11"/>
  <c r="H50" i="11" s="1"/>
  <c r="I50" i="11" s="1"/>
  <c r="E50" i="11"/>
  <c r="F50" i="11"/>
  <c r="J48" i="11"/>
  <c r="H48" i="11" s="1"/>
  <c r="I48" i="11" s="1"/>
  <c r="E48" i="11"/>
  <c r="F48" i="11"/>
  <c r="E57" i="11"/>
  <c r="J57" i="11"/>
  <c r="H57" i="11" s="1"/>
  <c r="I57" i="11" s="1"/>
  <c r="F57" i="11"/>
  <c r="I30" i="11"/>
  <c r="F30" i="11"/>
  <c r="J7" i="11"/>
  <c r="E30" i="11"/>
  <c r="J9" i="11"/>
  <c r="H9" i="11" s="1"/>
  <c r="I9" i="11" s="1"/>
  <c r="E9" i="11"/>
  <c r="F9" i="11"/>
  <c r="E16" i="11"/>
  <c r="J16" i="11"/>
  <c r="H16" i="11" s="1"/>
  <c r="I16" i="11" s="1"/>
  <c r="F16" i="11"/>
  <c r="J26" i="11"/>
  <c r="H26" i="11" s="1"/>
  <c r="I26" i="11" s="1"/>
  <c r="E26" i="11"/>
  <c r="F26" i="11"/>
  <c r="J18" i="11"/>
  <c r="H18" i="11" s="1"/>
  <c r="I18" i="11" s="1"/>
  <c r="E18" i="11"/>
  <c r="F18" i="11"/>
  <c r="J41" i="11"/>
  <c r="H41" i="11" s="1"/>
  <c r="I41" i="11" s="1"/>
  <c r="E41" i="11"/>
  <c r="F41" i="11"/>
  <c r="E33" i="11"/>
  <c r="J33" i="11"/>
  <c r="H33" i="11" s="1"/>
  <c r="I33" i="11" s="1"/>
  <c r="F33" i="11"/>
  <c r="J32" i="11"/>
  <c r="H32" i="11" s="1"/>
  <c r="I32" i="11" s="1"/>
  <c r="E32" i="11"/>
  <c r="F32" i="11"/>
  <c r="J17" i="11"/>
  <c r="H17" i="11" s="1"/>
  <c r="I17" i="11" s="1"/>
  <c r="E17" i="11"/>
  <c r="F17" i="11"/>
  <c r="J35" i="11"/>
  <c r="H35" i="11" s="1"/>
  <c r="I35" i="11" s="1"/>
  <c r="E35" i="11"/>
  <c r="F35" i="11"/>
  <c r="J34" i="11"/>
  <c r="H34" i="11" s="1"/>
  <c r="I34" i="11" s="1"/>
  <c r="E34" i="11"/>
  <c r="F34" i="11"/>
  <c r="J5" i="11"/>
  <c r="H5" i="11" s="1"/>
  <c r="I5" i="11" s="1"/>
  <c r="E5" i="11"/>
  <c r="F5" i="11"/>
  <c r="J15" i="11"/>
  <c r="H15" i="11" s="1"/>
  <c r="I15" i="11" s="1"/>
  <c r="E15" i="11"/>
  <c r="F15" i="11"/>
  <c r="J23" i="11"/>
  <c r="H23" i="11" s="1"/>
  <c r="I23" i="11" s="1"/>
  <c r="E23" i="11"/>
  <c r="F23" i="11"/>
  <c r="J8" i="11"/>
  <c r="H8" i="11" s="1"/>
  <c r="I8" i="11" s="1"/>
  <c r="E8" i="11"/>
  <c r="F8" i="11"/>
  <c r="J20" i="11"/>
  <c r="H20" i="11" s="1"/>
  <c r="I20" i="11" s="1"/>
  <c r="E20" i="11"/>
  <c r="F20" i="11"/>
  <c r="E13" i="11"/>
  <c r="J13" i="11"/>
  <c r="H13" i="11" s="1"/>
  <c r="I13" i="11" s="1"/>
  <c r="F13" i="11"/>
  <c r="E11" i="11"/>
  <c r="J11" i="11"/>
  <c r="H11" i="11" s="1"/>
  <c r="I11" i="11" s="1"/>
  <c r="F11" i="11"/>
  <c r="E39" i="11"/>
  <c r="J39" i="11"/>
  <c r="H39" i="11" s="1"/>
  <c r="I39" i="11" s="1"/>
  <c r="F39" i="11"/>
  <c r="E21" i="11"/>
  <c r="J21" i="11"/>
  <c r="H21" i="11" s="1"/>
  <c r="I21" i="11" s="1"/>
  <c r="F21" i="11"/>
  <c r="J37" i="11"/>
  <c r="H37" i="11" s="1"/>
  <c r="I37" i="11" s="1"/>
  <c r="E37" i="11"/>
  <c r="F37" i="11"/>
  <c r="E40" i="11"/>
  <c r="J40" i="11"/>
  <c r="H40" i="11" s="1"/>
  <c r="I40" i="11" s="1"/>
  <c r="F40" i="11"/>
  <c r="J27" i="11"/>
  <c r="H27" i="11" s="1"/>
  <c r="I27" i="11" s="1"/>
  <c r="E27" i="11"/>
  <c r="F27" i="11"/>
  <c r="J36" i="11"/>
  <c r="H36" i="11" s="1"/>
  <c r="I36" i="11" s="1"/>
  <c r="E36" i="11"/>
  <c r="F36" i="11"/>
  <c r="J29" i="11"/>
  <c r="H29" i="11" s="1"/>
  <c r="I29" i="11" s="1"/>
  <c r="E29" i="11"/>
  <c r="F29" i="11"/>
  <c r="J38" i="11"/>
  <c r="H38" i="11" s="1"/>
  <c r="I38" i="11" s="1"/>
  <c r="E38" i="11"/>
  <c r="F38" i="11"/>
  <c r="J12" i="11"/>
  <c r="H12" i="11" s="1"/>
  <c r="I12" i="11" s="1"/>
  <c r="E12" i="11"/>
  <c r="F12" i="11"/>
  <c r="J24" i="11"/>
  <c r="H24" i="11" s="1"/>
  <c r="I24" i="11" s="1"/>
  <c r="E24" i="11"/>
  <c r="F24" i="11"/>
  <c r="J10" i="11"/>
  <c r="H10" i="11" s="1"/>
  <c r="I10" i="11" s="1"/>
  <c r="E10" i="11"/>
  <c r="F10" i="11"/>
  <c r="D3" i="11"/>
  <c r="E3" i="11" s="1"/>
  <c r="J31" i="11"/>
  <c r="H31" i="11" s="1"/>
  <c r="I31" i="11" s="1"/>
  <c r="E31" i="11"/>
  <c r="F31" i="11"/>
  <c r="J42" i="11"/>
  <c r="H42" i="11" s="1"/>
  <c r="I42" i="11" s="1"/>
  <c r="E42" i="11"/>
  <c r="F42" i="11"/>
  <c r="E25" i="11"/>
  <c r="J25" i="11"/>
  <c r="H25" i="11" s="1"/>
  <c r="I25" i="11" s="1"/>
  <c r="F25" i="11"/>
  <c r="E4" i="11"/>
  <c r="J4" i="11"/>
  <c r="H4" i="11" s="1"/>
  <c r="I4" i="11" s="1"/>
  <c r="F4" i="11"/>
  <c r="E19" i="11"/>
  <c r="J19" i="11"/>
  <c r="H19" i="11" s="1"/>
  <c r="I19" i="11" s="1"/>
  <c r="F19" i="11"/>
  <c r="E28" i="11"/>
  <c r="J28" i="11"/>
  <c r="H28" i="11" s="1"/>
  <c r="I28" i="11" s="1"/>
  <c r="F28" i="11"/>
  <c r="J22" i="11"/>
  <c r="H22" i="11" s="1"/>
  <c r="I22" i="11" s="1"/>
  <c r="E22" i="11"/>
  <c r="F22" i="11"/>
  <c r="E14" i="11"/>
  <c r="J14" i="11"/>
  <c r="H14" i="11" s="1"/>
  <c r="I14" i="11" s="1"/>
  <c r="F14" i="11"/>
  <c r="J6" i="11"/>
  <c r="H6" i="11" s="1"/>
  <c r="I6" i="11" s="1"/>
  <c r="E6" i="11"/>
  <c r="F6" i="11"/>
  <c r="H7" i="11" l="1"/>
  <c r="I7" i="11" s="1"/>
  <c r="J3" i="11"/>
  <c r="H3" i="11" s="1"/>
  <c r="F3" i="11"/>
  <c r="E255" i="11" l="1" a="1"/>
  <c r="E255" i="11" s="1"/>
  <c r="I3" i="11"/>
  <c r="E253" i="11" s="1"/>
  <c r="E1" i="11"/>
  <c r="E251" i="11" l="1"/>
  <c r="E249" i="11"/>
  <c r="E243" i="1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<sst xmlns="http://schemas.openxmlformats.org/spreadsheetml/2006/main" count="594" uniqueCount="261">
  <si>
    <t>Instrument</t>
  </si>
  <si>
    <t>Name</t>
  </si>
  <si>
    <t>Ticker</t>
  </si>
  <si>
    <t>Country/Region</t>
  </si>
  <si>
    <t>Currency</t>
  </si>
  <si>
    <t>Maturity</t>
  </si>
  <si>
    <t>Coupon Type</t>
  </si>
  <si>
    <t>Coupon Frequency</t>
  </si>
  <si>
    <t>Coupon</t>
  </si>
  <si>
    <t>Ask Yield to Maturity</t>
  </si>
  <si>
    <t>Bid Yield to Maturity</t>
  </si>
  <si>
    <t>Ask Price</t>
  </si>
  <si>
    <t>Bid Price</t>
  </si>
  <si>
    <t>Identifier</t>
  </si>
  <si>
    <t>ISIN</t>
  </si>
  <si>
    <t>Bloomberg Composite Rating</t>
  </si>
  <si>
    <t>Announce</t>
  </si>
  <si>
    <t>Next Coupon Settle Date</t>
  </si>
  <si>
    <t>Time</t>
  </si>
  <si>
    <t>YL396238 Corp</t>
  </si>
  <si>
    <t>ZI885852 Corp</t>
  </si>
  <si>
    <t>LW169500 Corp</t>
  </si>
  <si>
    <t>AN666227 Corp</t>
  </si>
  <si>
    <t>BO356983 Corp</t>
  </si>
  <si>
    <t>BO356985 Corp</t>
  </si>
  <si>
    <t>BO356982 Corp</t>
  </si>
  <si>
    <t>DA928584 Corp</t>
  </si>
  <si>
    <t>YL396232 Corp</t>
  </si>
  <si>
    <t>YK173563 Corp</t>
  </si>
  <si>
    <t>YN599739 Corp</t>
  </si>
  <si>
    <t>YN599935 Corp</t>
  </si>
  <si>
    <t>YN600126 Corp</t>
  </si>
  <si>
    <t>ZD637375 Corp</t>
  </si>
  <si>
    <t>AN666209 Corp</t>
  </si>
  <si>
    <t>YS631917 Corp</t>
  </si>
  <si>
    <t>BW601183 Corp</t>
  </si>
  <si>
    <t>YT821868 Corp</t>
  </si>
  <si>
    <t>YT968038 Corp</t>
  </si>
  <si>
    <t>AP577034 Corp</t>
  </si>
  <si>
    <t>LW169503 Corp</t>
  </si>
  <si>
    <t>YK943560 Corp</t>
  </si>
  <si>
    <t>YT967931 Corp</t>
  </si>
  <si>
    <t>YV792963 Corp</t>
  </si>
  <si>
    <t>YV793180 Corp</t>
  </si>
  <si>
    <t>ZD637368 Corp</t>
  </si>
  <si>
    <t>ZK701516 Corp</t>
  </si>
  <si>
    <t>ZK701649 Corp</t>
  </si>
  <si>
    <t>AO295977 Corp</t>
  </si>
  <si>
    <t>AU925890 Corp</t>
  </si>
  <si>
    <t>BO579315 Corp</t>
  </si>
  <si>
    <t>BW601098 Corp</t>
  </si>
  <si>
    <t>YK173548 Corp</t>
  </si>
  <si>
    <t>ZI885869 Corp</t>
  </si>
  <si>
    <t>ZS613802 Corp</t>
  </si>
  <si>
    <t>BZ742454 Corp</t>
  </si>
  <si>
    <t>YK172992 Corp</t>
  </si>
  <si>
    <t>AVG Price</t>
  </si>
  <si>
    <t>ID</t>
  </si>
  <si>
    <t>TIMEish</t>
  </si>
  <si>
    <t>years ago</t>
  </si>
  <si>
    <t>Accrued Interest</t>
  </si>
  <si>
    <t>Clean price</t>
  </si>
  <si>
    <t>AVG yield</t>
  </si>
  <si>
    <t>Toyota Motor Corp</t>
  </si>
  <si>
    <t>TOYOTA</t>
  </si>
  <si>
    <t>JP</t>
  </si>
  <si>
    <t>JPY</t>
  </si>
  <si>
    <t>04/09/2035</t>
  </si>
  <si>
    <t>FIXED</t>
  </si>
  <si>
    <t>YL3962385</t>
  </si>
  <si>
    <t>JP363340AR99</t>
  </si>
  <si>
    <t>A+</t>
  </si>
  <si>
    <t>29/08/2025</t>
  </si>
  <si>
    <t>04/09/2026</t>
  </si>
  <si>
    <t>Toyota Finance Corp</t>
  </si>
  <si>
    <t>13/10/2026</t>
  </si>
  <si>
    <t>ZI8858527</t>
  </si>
  <si>
    <t>JP363360APA1</t>
  </si>
  <si>
    <t>06/10/2023</t>
  </si>
  <si>
    <t>13/04/2026</t>
  </si>
  <si>
    <t>03/06/2026</t>
  </si>
  <si>
    <t>LW1695003</t>
  </si>
  <si>
    <t>JP363340AG68</t>
  </si>
  <si>
    <t>27/05/2016</t>
  </si>
  <si>
    <t>02/06/2037</t>
  </si>
  <si>
    <t>AN6662273</t>
  </si>
  <si>
    <t>JP363340DH64</t>
  </si>
  <si>
    <t>26/05/2017</t>
  </si>
  <si>
    <t>02/06/2026</t>
  </si>
  <si>
    <t>18/03/2031</t>
  </si>
  <si>
    <t>BO3569833</t>
  </si>
  <si>
    <t>JP363340CM35</t>
  </si>
  <si>
    <t>12/03/2021</t>
  </si>
  <si>
    <t>18/03/2026</t>
  </si>
  <si>
    <t>27/03/2026</t>
  </si>
  <si>
    <t>BO3569858</t>
  </si>
  <si>
    <t>JP363340AM37</t>
  </si>
  <si>
    <t>#N/A N/A</t>
  </si>
  <si>
    <t>BO3569825</t>
  </si>
  <si>
    <t>JP363340BM36</t>
  </si>
  <si>
    <t>01/12/2028</t>
  </si>
  <si>
    <t>DA9285846</t>
  </si>
  <si>
    <t>JP363360ARQ3</t>
  </si>
  <si>
    <t>27/11/2025</t>
  </si>
  <si>
    <t>04/09/2030</t>
  </si>
  <si>
    <t>YL3962328</t>
  </si>
  <si>
    <t>JP363340BR98</t>
  </si>
  <si>
    <t>17/10/2030</t>
  </si>
  <si>
    <t>YK1735637</t>
  </si>
  <si>
    <t>JP363360ARA7</t>
  </si>
  <si>
    <t>10/10/2025</t>
  </si>
  <si>
    <t>17/04/2026</t>
  </si>
  <si>
    <t>22/07/2027</t>
  </si>
  <si>
    <t>YN5997393</t>
  </si>
  <si>
    <t>JP363360AR78</t>
  </si>
  <si>
    <t>15/07/2025</t>
  </si>
  <si>
    <t>22/07/2026</t>
  </si>
  <si>
    <t>21/07/2028</t>
  </si>
  <si>
    <t>YN5999357</t>
  </si>
  <si>
    <t>JP363360BR77</t>
  </si>
  <si>
    <t>22/07/2030</t>
  </si>
  <si>
    <t>YN6001260</t>
  </si>
  <si>
    <t>JP363360CR76</t>
  </si>
  <si>
    <t>11/04/2029</t>
  </si>
  <si>
    <t>ZD6373751</t>
  </si>
  <si>
    <t>JP363360BQ45</t>
  </si>
  <si>
    <t>05/04/2024</t>
  </si>
  <si>
    <t>10/04/2026</t>
  </si>
  <si>
    <t>02/06/2027</t>
  </si>
  <si>
    <t>AN6662091</t>
  </si>
  <si>
    <t>JP363340CH65</t>
  </si>
  <si>
    <t>23/01/2032</t>
  </si>
  <si>
    <t>YS6319174</t>
  </si>
  <si>
    <t>JP363360CR19</t>
  </si>
  <si>
    <t>17/01/2025</t>
  </si>
  <si>
    <t>23/07/2026</t>
  </si>
  <si>
    <t>02/06/2032</t>
  </si>
  <si>
    <t>BW6011835</t>
  </si>
  <si>
    <t>JP363340BN68</t>
  </si>
  <si>
    <t>27/05/2022</t>
  </si>
  <si>
    <t>11/12/2026</t>
  </si>
  <si>
    <t>YT8218687</t>
  </si>
  <si>
    <t>JP363360AQQ5</t>
  </si>
  <si>
    <t>06/12/2024</t>
  </si>
  <si>
    <t>12/06/2026</t>
  </si>
  <si>
    <t>23/01/2030</t>
  </si>
  <si>
    <t>YT9680380</t>
  </si>
  <si>
    <t>JP363360BR10</t>
  </si>
  <si>
    <t>22/10/2027</t>
  </si>
  <si>
    <t>AP5770346</t>
  </si>
  <si>
    <t>JP363360CHA4</t>
  </si>
  <si>
    <t>13/10/2017</t>
  </si>
  <si>
    <t>24/04/2026</t>
  </si>
  <si>
    <t>03/06/2036</t>
  </si>
  <si>
    <t>LW1695037</t>
  </si>
  <si>
    <t>JP363340BG67</t>
  </si>
  <si>
    <t>15/10/2032</t>
  </si>
  <si>
    <t>YK9435602</t>
  </si>
  <si>
    <t>JP363360BRA5</t>
  </si>
  <si>
    <t>21/01/2028</t>
  </si>
  <si>
    <t>YT9679317</t>
  </si>
  <si>
    <t>JP363360AR11</t>
  </si>
  <si>
    <t>08/10/2027</t>
  </si>
  <si>
    <t>YV7929636</t>
  </si>
  <si>
    <t>JP363360AQA9</t>
  </si>
  <si>
    <t>04/10/2024</t>
  </si>
  <si>
    <t>10/10/2029</t>
  </si>
  <si>
    <t>YV7931806</t>
  </si>
  <si>
    <t>JP363360BQA7</t>
  </si>
  <si>
    <t>09/04/2027</t>
  </si>
  <si>
    <t>ZD6373686</t>
  </si>
  <si>
    <t>JP363360AQ46</t>
  </si>
  <si>
    <t>01/06/2033</t>
  </si>
  <si>
    <t>ZK7015165</t>
  </si>
  <si>
    <t>JP363340BP66</t>
  </si>
  <si>
    <t>26/05/2023</t>
  </si>
  <si>
    <t>01/06/2026</t>
  </si>
  <si>
    <t>01/06/2028</t>
  </si>
  <si>
    <t>ZK7016494</t>
  </si>
  <si>
    <t>JP363340AP67</t>
  </si>
  <si>
    <t>23/07/2027</t>
  </si>
  <si>
    <t>AO2959770</t>
  </si>
  <si>
    <t>JP363360CH78</t>
  </si>
  <si>
    <t>14/07/2017</t>
  </si>
  <si>
    <t>24/07/2026</t>
  </si>
  <si>
    <t>23/10/2028</t>
  </si>
  <si>
    <t>AU9258909</t>
  </si>
  <si>
    <t>JP363360CJA0</t>
  </si>
  <si>
    <t>10/10/2018</t>
  </si>
  <si>
    <t>23/04/2026</t>
  </si>
  <si>
    <t>15/04/2026</t>
  </si>
  <si>
    <t>BO5793159</t>
  </si>
  <si>
    <t>JP363360BM49</t>
  </si>
  <si>
    <t>09/04/2021</t>
  </si>
  <si>
    <t>BW6010985</t>
  </si>
  <si>
    <t>JP363340AN69</t>
  </si>
  <si>
    <t>17/10/2028</t>
  </si>
  <si>
    <t>YK1735488</t>
  </si>
  <si>
    <t>JP363360DRA1</t>
  </si>
  <si>
    <t>13/10/2028</t>
  </si>
  <si>
    <t>ZI8858691</t>
  </si>
  <si>
    <t>JP363360BPA9</t>
  </si>
  <si>
    <t>24/05/2029</t>
  </si>
  <si>
    <t>ZS6138029</t>
  </si>
  <si>
    <t>JP363340BK53</t>
  </si>
  <si>
    <t>17/05/2019</t>
  </si>
  <si>
    <t>22/05/2026</t>
  </si>
  <si>
    <t>21/10/2027</t>
  </si>
  <si>
    <t>BZ7424543</t>
  </si>
  <si>
    <t>JP363360BNA4</t>
  </si>
  <si>
    <t>14/10/2022</t>
  </si>
  <si>
    <t>21/04/2026</t>
  </si>
  <si>
    <t>15/10/2027</t>
  </si>
  <si>
    <t>YK1729929</t>
  </si>
  <si>
    <t>JP363360CRA3</t>
  </si>
  <si>
    <t>F coupon&lt;0.5</t>
  </si>
  <si>
    <t>Price</t>
  </si>
  <si>
    <t>Cash flows</t>
  </si>
  <si>
    <t>FITTED VISUALISATION</t>
  </si>
  <si>
    <t>ask yield</t>
  </si>
  <si>
    <t>bid yield</t>
  </si>
  <si>
    <t>Market</t>
  </si>
  <si>
    <t>Model</t>
  </si>
  <si>
    <t>Error</t>
  </si>
  <si>
    <t>Abs Error</t>
  </si>
  <si>
    <t>Yield</t>
  </si>
  <si>
    <t>Yield Model</t>
  </si>
  <si>
    <t xml:space="preserve">Yield Error </t>
  </si>
  <si>
    <t>- prices</t>
  </si>
  <si>
    <t>Time discretization</t>
  </si>
  <si>
    <t>Long term spot</t>
  </si>
  <si>
    <t>Time decay</t>
  </si>
  <si>
    <t>First hump</t>
  </si>
  <si>
    <t>Second hump</t>
  </si>
  <si>
    <t>Total</t>
  </si>
  <si>
    <t xml:space="preserve">INITIAL VALUES </t>
  </si>
  <si>
    <t xml:space="preserve">SOLVER VALUES </t>
  </si>
  <si>
    <t>INITIAL RESULTS</t>
  </si>
  <si>
    <t>SOLVER RESULTS</t>
  </si>
  <si>
    <r>
      <t>b</t>
    </r>
    <r>
      <rPr>
        <vertAlign val="subscript"/>
        <sz val="11"/>
        <color theme="1"/>
        <rFont val="Symbol"/>
        <family val="1"/>
        <charset val="2"/>
      </rPr>
      <t>0</t>
    </r>
  </si>
  <si>
    <t>Mean abs error</t>
  </si>
  <si>
    <t>MAE (Price)</t>
  </si>
  <si>
    <t>r(t)</t>
  </si>
  <si>
    <t>FITTED</t>
  </si>
  <si>
    <t>Spot</t>
  </si>
  <si>
    <r>
      <t>b</t>
    </r>
    <r>
      <rPr>
        <vertAlign val="subscript"/>
        <sz val="11"/>
        <color theme="1"/>
        <rFont val="Symbol"/>
        <family val="1"/>
        <charset val="2"/>
      </rPr>
      <t>1</t>
    </r>
    <r>
      <rPr>
        <sz val="10"/>
        <rFont val="Arial"/>
        <family val="2"/>
      </rPr>
      <t/>
    </r>
  </si>
  <si>
    <t>d(t)</t>
  </si>
  <si>
    <t>Discount factor</t>
  </si>
  <si>
    <r>
      <t>b</t>
    </r>
    <r>
      <rPr>
        <vertAlign val="subscript"/>
        <sz val="11"/>
        <color theme="1"/>
        <rFont val="Symbol"/>
        <family val="1"/>
        <charset val="2"/>
      </rPr>
      <t>2</t>
    </r>
    <r>
      <rPr>
        <sz val="10"/>
        <rFont val="Arial"/>
        <family val="2"/>
      </rPr>
      <t/>
    </r>
  </si>
  <si>
    <t>RMSE (Price)</t>
  </si>
  <si>
    <t>f(t)</t>
  </si>
  <si>
    <t>Forward</t>
  </si>
  <si>
    <r>
      <t>b</t>
    </r>
    <r>
      <rPr>
        <vertAlign val="subscript"/>
        <sz val="11"/>
        <color theme="1"/>
        <rFont val="Symbol"/>
        <family val="1"/>
        <charset val="2"/>
      </rPr>
      <t>3</t>
    </r>
    <r>
      <rPr>
        <sz val="10"/>
        <rFont val="Arial"/>
        <family val="2"/>
      </rPr>
      <t/>
    </r>
  </si>
  <si>
    <t>Forward credit spread</t>
  </si>
  <si>
    <t>t1</t>
  </si>
  <si>
    <t>RMSE (Yield)</t>
  </si>
  <si>
    <t>t2</t>
  </si>
  <si>
    <t>MAE (yield)</t>
  </si>
  <si>
    <t>MAE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</si>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</sst>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"/>
    <numFmt numFmtId="166" formatCode="0.0"/>
    <numFmt numFmtId="167" formatCode="0.0%"/>
  </numFmts>
  <fonts count="29" x14ac:knownFonts="1">
    <font>
      <sz val="10"/>
      <name val="Arial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sz val="12"/>
      <name val="Aptos"/>
      <family val="2"/>
    </font>
    <font>
      <b/>
      <i/>
      <sz val="11"/>
      <color theme="1"/>
      <name val="Aptos Narrow"/>
      <family val="2"/>
      <scheme val="minor"/>
    </font>
    <font>
      <sz val="11"/>
      <color theme="1"/>
      <name val="Symbol"/>
      <family val="1"/>
      <charset val="2"/>
    </font>
    <font>
      <vertAlign val="subscript"/>
      <sz val="11"/>
      <color theme="1"/>
      <name val="Symbol"/>
      <family val="1"/>
      <charset val="2"/>
    </font>
    <font>
      <b/>
      <sz val="11"/>
      <color theme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8"/>
      <name val="Aptos Narrow"/>
      <family val="2"/>
      <scheme val="minor"/>
    </font>
    <font>
      <b/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6">
    <xf numFmtId="0" fontId="0" fillId="0" borderId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0" fillId="0" borderId="0"/>
  </cellStyleXfs>
  <cellXfs count="66">
    <xf numFmtId="0" fontId="20" fillId="0" borderId="0" xfId="0" applyFont="1"/>
    <xf numFmtId="0" fontId="0" fillId="0" borderId="0" xfId="0"/>
    <xf numFmtId="49" fontId="0" fillId="0" borderId="0" xfId="0" applyNumberFormat="1"/>
    <xf numFmtId="14" fontId="20" fillId="0" borderId="0" xfId="0" applyNumberFormat="1" applyFont="1"/>
    <xf numFmtId="2" fontId="20" fillId="0" borderId="0" xfId="0" applyNumberFormat="1" applyFont="1"/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166" fontId="20" fillId="0" borderId="0" xfId="0" applyNumberFormat="1" applyFont="1"/>
    <xf numFmtId="0" fontId="2" fillId="0" borderId="0" xfId="43"/>
    <xf numFmtId="9" fontId="2" fillId="0" borderId="0" xfId="43" applyNumberFormat="1"/>
    <xf numFmtId="0" fontId="18" fillId="0" borderId="0" xfId="43" applyFont="1" applyAlignment="1">
      <alignment horizontal="center"/>
    </xf>
    <xf numFmtId="0" fontId="2" fillId="0" borderId="0" xfId="43" applyAlignment="1">
      <alignment horizontal="center"/>
    </xf>
    <xf numFmtId="0" fontId="22" fillId="0" borderId="0" xfId="43" applyFont="1"/>
    <xf numFmtId="9" fontId="22" fillId="0" borderId="0" xfId="43" applyNumberFormat="1" applyFont="1"/>
    <xf numFmtId="2" fontId="2" fillId="0" borderId="0" xfId="43" applyNumberFormat="1" applyAlignment="1">
      <alignment horizontal="center"/>
    </xf>
    <xf numFmtId="0" fontId="2" fillId="0" borderId="0" xfId="43" quotePrefix="1"/>
    <xf numFmtId="10" fontId="2" fillId="0" borderId="0" xfId="43" applyNumberFormat="1"/>
    <xf numFmtId="2" fontId="2" fillId="0" borderId="0" xfId="43" applyNumberFormat="1"/>
    <xf numFmtId="10" fontId="0" fillId="0" borderId="0" xfId="44" applyNumberFormat="1" applyFont="1" applyFill="1"/>
    <xf numFmtId="1" fontId="2" fillId="0" borderId="0" xfId="43" applyNumberFormat="1"/>
    <xf numFmtId="10" fontId="2" fillId="0" borderId="0" xfId="43" quotePrefix="1" applyNumberFormat="1"/>
    <xf numFmtId="165" fontId="2" fillId="0" borderId="0" xfId="43" quotePrefix="1" applyNumberFormat="1"/>
    <xf numFmtId="9" fontId="25" fillId="0" borderId="0" xfId="43" applyNumberFormat="1" applyFont="1"/>
    <xf numFmtId="0" fontId="26" fillId="0" borderId="0" xfId="43" applyFont="1"/>
    <xf numFmtId="9" fontId="26" fillId="0" borderId="0" xfId="43" applyNumberFormat="1" applyFont="1"/>
    <xf numFmtId="0" fontId="2" fillId="0" borderId="10" xfId="43" applyBorder="1"/>
    <xf numFmtId="0" fontId="2" fillId="0" borderId="11" xfId="43" applyBorder="1"/>
    <xf numFmtId="0" fontId="2" fillId="0" borderId="12" xfId="43" applyBorder="1"/>
    <xf numFmtId="2" fontId="2" fillId="0" borderId="13" xfId="43" applyNumberFormat="1" applyBorder="1"/>
    <xf numFmtId="0" fontId="2" fillId="0" borderId="14" xfId="43" applyBorder="1"/>
    <xf numFmtId="9" fontId="25" fillId="0" borderId="0" xfId="43" applyNumberFormat="1" applyFont="1" applyAlignment="1">
      <alignment horizontal="center" vertical="center"/>
    </xf>
    <xf numFmtId="0" fontId="26" fillId="0" borderId="0" xfId="43" applyFont="1" applyAlignment="1">
      <alignment horizontal="center" vertical="center"/>
    </xf>
    <xf numFmtId="9" fontId="26" fillId="0" borderId="0" xfId="43" applyNumberFormat="1" applyFont="1" applyAlignment="1">
      <alignment horizontal="center" vertical="center"/>
    </xf>
    <xf numFmtId="10" fontId="27" fillId="0" borderId="0" xfId="43" applyNumberFormat="1" applyFont="1" applyAlignment="1">
      <alignment horizontal="center"/>
    </xf>
    <xf numFmtId="10" fontId="16" fillId="0" borderId="0" xfId="43" applyNumberFormat="1" applyFont="1" applyAlignment="1">
      <alignment horizontal="center"/>
    </xf>
    <xf numFmtId="0" fontId="27" fillId="0" borderId="0" xfId="43" applyFont="1" applyAlignment="1">
      <alignment horizontal="left" vertical="center"/>
    </xf>
    <xf numFmtId="2" fontId="16" fillId="0" borderId="0" xfId="43" applyNumberFormat="1" applyFont="1" applyAlignment="1">
      <alignment horizontal="left" vertical="center"/>
    </xf>
    <xf numFmtId="164" fontId="27" fillId="0" borderId="0" xfId="43" applyNumberFormat="1" applyFont="1" applyAlignment="1">
      <alignment horizontal="left" vertical="center"/>
    </xf>
    <xf numFmtId="2" fontId="27" fillId="0" borderId="0" xfId="43" applyNumberFormat="1" applyFont="1" applyAlignment="1">
      <alignment horizontal="center"/>
    </xf>
    <xf numFmtId="2" fontId="16" fillId="0" borderId="0" xfId="43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28" fillId="0" borderId="0" xfId="0" applyFont="1"/>
    <xf numFmtId="2" fontId="28" fillId="0" borderId="0" xfId="0" applyNumberFormat="1" applyFont="1"/>
    <xf numFmtId="0" fontId="20" fillId="0" borderId="0" xfId="0" applyFont="1" applyAlignment="1">
      <alignment horizontal="right"/>
    </xf>
    <xf numFmtId="9" fontId="0" fillId="0" borderId="0" xfId="1" applyFont="1" applyFill="1"/>
    <xf numFmtId="166" fontId="2" fillId="0" borderId="0" xfId="43" applyNumberFormat="1"/>
    <xf numFmtId="166" fontId="18" fillId="0" borderId="0" xfId="43" applyNumberFormat="1" applyFont="1"/>
    <xf numFmtId="166" fontId="23" fillId="0" borderId="0" xfId="43" applyNumberFormat="1" applyFont="1" applyAlignment="1">
      <alignment horizontal="right"/>
    </xf>
    <xf numFmtId="167" fontId="18" fillId="0" borderId="0" xfId="43" applyNumberFormat="1" applyFont="1"/>
    <xf numFmtId="167" fontId="2" fillId="0" borderId="0" xfId="43" applyNumberFormat="1"/>
    <xf numFmtId="167" fontId="25" fillId="0" borderId="0" xfId="43" applyNumberFormat="1" applyFont="1"/>
    <xf numFmtId="1" fontId="20" fillId="0" borderId="0" xfId="0" applyNumberFormat="1" applyFont="1"/>
    <xf numFmtId="10" fontId="0" fillId="0" borderId="0" xfId="1" applyNumberFormat="1" applyFont="1" applyFill="1"/>
    <xf numFmtId="0" fontId="20" fillId="0" borderId="0" xfId="45"/>
    <xf numFmtId="2" fontId="20" fillId="0" borderId="0" xfId="45" applyNumberFormat="1"/>
    <xf numFmtId="0" fontId="1" fillId="0" borderId="0" xfId="43" applyFont="1"/>
    <xf numFmtId="166" fontId="1" fillId="0" borderId="0" xfId="1" applyNumberFormat="1" applyFont="1"/>
    <xf numFmtId="167" fontId="1" fillId="0" borderId="0" xfId="1" applyNumberFormat="1" applyFont="1"/>
    <xf numFmtId="2" fontId="1" fillId="0" borderId="0" xfId="1" applyNumberFormat="1" applyFont="1"/>
    <xf numFmtId="166" fontId="1" fillId="33" borderId="0" xfId="43" applyNumberFormat="1" applyFont="1" applyFill="1" applyAlignment="1">
      <alignment horizontal="center"/>
    </xf>
    <xf numFmtId="0" fontId="18" fillId="0" borderId="0" xfId="43" applyFont="1" applyAlignment="1">
      <alignment horizontal="center"/>
    </xf>
    <xf numFmtId="0" fontId="18" fillId="0" borderId="16" xfId="43" applyFont="1" applyBorder="1" applyAlignment="1">
      <alignment horizontal="center"/>
    </xf>
    <xf numFmtId="0" fontId="18" fillId="0" borderId="15" xfId="43" applyFont="1" applyBorder="1" applyAlignment="1">
      <alignment horizontal="center"/>
    </xf>
    <xf numFmtId="0" fontId="2" fillId="0" borderId="0" xfId="43" applyAlignment="1">
      <alignment horizontal="center"/>
    </xf>
    <xf numFmtId="0" fontId="1" fillId="0" borderId="0" xfId="43" applyFont="1" applyAlignment="1">
      <alignment horizontal="center"/>
    </xf>
    <xf numFmtId="9" fontId="2" fillId="34" borderId="0" xfId="43" applyNumberFormat="1" applyFill="1" applyAlignment="1">
      <alignment horizont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 xr:uid="{6094A3D0-28E8-4A24-9F62-106DC387BE94}"/>
    <cellStyle name="Normal 3" xfId="45" xr:uid="{0D661A05-B799-427C-AE17-FD55B2212211}"/>
    <cellStyle name="Note" xfId="16" builtinId="10" customBuiltin="1"/>
    <cellStyle name="Output" xfId="11" builtinId="21" customBuiltin="1"/>
    <cellStyle name="Percent" xfId="1" builtinId="5"/>
    <cellStyle name="Percent 2" xfId="44" xr:uid="{EFDBEB1F-5AD3-4488-ACAD-D078AC9949D3}"/>
    <cellStyle name="Title" xfId="2" builtinId="15" customBuiltin="1"/>
    <cellStyle name="Total" xfId="18" builtinId="25" customBuiltin="1"/>
    <cellStyle name="Warning Text" xfId="15" builtinId="11" customBuiltin="1"/>
  </cellStyles>
  <dxfs count="9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Fitted Spot and Forward yield curves (Corporate Bonds)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NSS!$J$250:$K$250</c:f>
              <c:strCache>
                <c:ptCount val="2"/>
                <c:pt idx="0">
                  <c:v>Forward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NSS!$L$2:$CK$2</c:f>
              <c:numCache>
                <c:formatCode>General</c:formatCode>
                <c:ptCount val="78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</c:v>
                </c:pt>
                <c:pt idx="48">
                  <c:v>24.5</c:v>
                </c:pt>
                <c:pt idx="49">
                  <c:v>25</c:v>
                </c:pt>
                <c:pt idx="50">
                  <c:v>25.5</c:v>
                </c:pt>
                <c:pt idx="51">
                  <c:v>26</c:v>
                </c:pt>
                <c:pt idx="52">
                  <c:v>26.5</c:v>
                </c:pt>
                <c:pt idx="53">
                  <c:v>27</c:v>
                </c:pt>
                <c:pt idx="54">
                  <c:v>27.5</c:v>
                </c:pt>
                <c:pt idx="55">
                  <c:v>28</c:v>
                </c:pt>
                <c:pt idx="56">
                  <c:v>28.5</c:v>
                </c:pt>
                <c:pt idx="57">
                  <c:v>29</c:v>
                </c:pt>
                <c:pt idx="58">
                  <c:v>29.5</c:v>
                </c:pt>
                <c:pt idx="59">
                  <c:v>30</c:v>
                </c:pt>
                <c:pt idx="60">
                  <c:v>30.5</c:v>
                </c:pt>
                <c:pt idx="61">
                  <c:v>31</c:v>
                </c:pt>
                <c:pt idx="62">
                  <c:v>31.5</c:v>
                </c:pt>
                <c:pt idx="63">
                  <c:v>32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</c:numCache>
            </c:numRef>
          </c:xVal>
          <c:yVal>
            <c:numRef>
              <c:f>NSS!$L$250:$CK$250</c:f>
              <c:numCache>
                <c:formatCode>0.00%</c:formatCode>
                <c:ptCount val="78"/>
                <c:pt idx="2">
                  <c:v>1.8405349705237883E-2</c:v>
                </c:pt>
                <c:pt idx="3">
                  <c:v>2.0709832194344635E-2</c:v>
                </c:pt>
                <c:pt idx="4">
                  <c:v>2.2480708118509884E-2</c:v>
                </c:pt>
                <c:pt idx="5">
                  <c:v>2.4166244816891114E-2</c:v>
                </c:pt>
                <c:pt idx="6">
                  <c:v>2.5769725368030683E-2</c:v>
                </c:pt>
                <c:pt idx="7">
                  <c:v>2.7294325827311949E-2</c:v>
                </c:pt>
                <c:pt idx="8">
                  <c:v>2.8743117789756578E-2</c:v>
                </c:pt>
                <c:pt idx="9">
                  <c:v>3.0119070962416172E-2</c:v>
                </c:pt>
                <c:pt idx="10">
                  <c:v>3.142505573852894E-2</c:v>
                </c:pt>
                <c:pt idx="11">
                  <c:v>3.2663845766382371E-2</c:v>
                </c:pt>
                <c:pt idx="12">
                  <c:v>3.3838120506629821E-2</c:v>
                </c:pt>
                <c:pt idx="13">
                  <c:v>3.4950467772458138E-2</c:v>
                </c:pt>
                <c:pt idx="14">
                  <c:v>3.6003386247642988E-2</c:v>
                </c:pt>
                <c:pt idx="15">
                  <c:v>3.6999287978162432E-2</c:v>
                </c:pt>
                <c:pt idx="16">
                  <c:v>3.7940500833491875E-2</c:v>
                </c:pt>
                <c:pt idx="17">
                  <c:v>3.8829270934226168E-2</c:v>
                </c:pt>
                <c:pt idx="18">
                  <c:v>3.9667765043152059E-2</c:v>
                </c:pt>
                <c:pt idx="19">
                  <c:v>4.0458072917247456E-2</c:v>
                </c:pt>
                <c:pt idx="20">
                  <c:v>4.1202209618476759E-2</c:v>
                </c:pt>
                <c:pt idx="21">
                  <c:v>4.1902117781557946E-2</c:v>
                </c:pt>
                <c:pt idx="22">
                  <c:v>4.255966983727566E-2</c:v>
                </c:pt>
                <c:pt idx="23">
                  <c:v>4.3176670190047339E-2</c:v>
                </c:pt>
                <c:pt idx="24">
                  <c:v>4.3754857348807352E-2</c:v>
                </c:pt>
                <c:pt idx="25">
                  <c:v>4.4295906010516362E-2</c:v>
                </c:pt>
                <c:pt idx="26">
                  <c:v>4.4801429095675971E-2</c:v>
                </c:pt>
                <c:pt idx="27">
                  <c:v>4.5272979735556218E-2</c:v>
                </c:pt>
                <c:pt idx="28">
                  <c:v>4.5712053210945625E-2</c:v>
                </c:pt>
                <c:pt idx="29">
                  <c:v>4.6120088842386719E-2</c:v>
                </c:pt>
                <c:pt idx="30">
                  <c:v>4.6498471831991406E-2</c:v>
                </c:pt>
                <c:pt idx="31">
                  <c:v>4.6848535057038676E-2</c:v>
                </c:pt>
                <c:pt idx="32">
                  <c:v>4.7171560815723046E-2</c:v>
                </c:pt>
                <c:pt idx="33">
                  <c:v>4.7468782525424968E-2</c:v>
                </c:pt>
                <c:pt idx="34">
                  <c:v>4.7741386374017036E-2</c:v>
                </c:pt>
                <c:pt idx="35">
                  <c:v>4.7990512924780404E-2</c:v>
                </c:pt>
                <c:pt idx="36">
                  <c:v>4.8217258675573804E-2</c:v>
                </c:pt>
                <c:pt idx="37">
                  <c:v>4.8422677572943496E-2</c:v>
                </c:pt>
                <c:pt idx="38">
                  <c:v>4.8607782481843165E-2</c:v>
                </c:pt>
                <c:pt idx="39">
                  <c:v>4.8773546611856622E-2</c:v>
                </c:pt>
                <c:pt idx="40">
                  <c:v>4.8920904900681128E-2</c:v>
                </c:pt>
                <c:pt idx="41">
                  <c:v>4.9050755355618536E-2</c:v>
                </c:pt>
                <c:pt idx="42">
                  <c:v>4.9163960354080327E-2</c:v>
                </c:pt>
                <c:pt idx="43">
                  <c:v>4.9261347903952535E-2</c:v>
                </c:pt>
                <c:pt idx="44">
                  <c:v>4.9343712864562184E-2</c:v>
                </c:pt>
                <c:pt idx="45">
                  <c:v>4.9411818129373453E-2</c:v>
                </c:pt>
                <c:pt idx="46">
                  <c:v>4.9466395771152083E-2</c:v>
                </c:pt>
                <c:pt idx="47">
                  <c:v>4.9508148150575026E-2</c:v>
                </c:pt>
                <c:pt idx="48">
                  <c:v>4.9537748989215036E-2</c:v>
                </c:pt>
                <c:pt idx="49">
                  <c:v>4.955584440771843E-2</c:v>
                </c:pt>
                <c:pt idx="50">
                  <c:v>4.9563053930248735E-2</c:v>
                </c:pt>
                <c:pt idx="51">
                  <c:v>4.9559971455874097E-2</c:v>
                </c:pt>
                <c:pt idx="52">
                  <c:v>4.9547166197970505E-2</c:v>
                </c:pt>
                <c:pt idx="53">
                  <c:v>4.9525183592479483E-2</c:v>
                </c:pt>
                <c:pt idx="54">
                  <c:v>4.949454617579474E-2</c:v>
                </c:pt>
                <c:pt idx="55">
                  <c:v>4.945575443327499E-2</c:v>
                </c:pt>
                <c:pt idx="56">
                  <c:v>4.9409287619135434E-2</c:v>
                </c:pt>
                <c:pt idx="57">
                  <c:v>4.9355604548574128E-2</c:v>
                </c:pt>
                <c:pt idx="58">
                  <c:v>4.929514436296123E-2</c:v>
                </c:pt>
                <c:pt idx="59">
                  <c:v>4.9228327268891592E-2</c:v>
                </c:pt>
                <c:pt idx="60">
                  <c:v>4.9155555251864103E-2</c:v>
                </c:pt>
                <c:pt idx="61">
                  <c:v>4.9077212765361589E-2</c:v>
                </c:pt>
                <c:pt idx="62">
                  <c:v>4.8993667396152185E-2</c:v>
                </c:pt>
                <c:pt idx="63">
                  <c:v>4.890527050641591E-2</c:v>
                </c:pt>
                <c:pt idx="64">
                  <c:v>4.8812357853530663E-2</c:v>
                </c:pt>
                <c:pt idx="65">
                  <c:v>4.8715250188222647E-2</c:v>
                </c:pt>
                <c:pt idx="66">
                  <c:v>4.8614253831616772E-2</c:v>
                </c:pt>
                <c:pt idx="67">
                  <c:v>4.8509661232060797E-2</c:v>
                </c:pt>
                <c:pt idx="68">
                  <c:v>4.8401751502257229E-2</c:v>
                </c:pt>
                <c:pt idx="69">
                  <c:v>4.8290790937326911E-2</c:v>
                </c:pt>
                <c:pt idx="70">
                  <c:v>4.8177033514453127E-2</c:v>
                </c:pt>
                <c:pt idx="71">
                  <c:v>4.8060721374758142E-2</c:v>
                </c:pt>
                <c:pt idx="72">
                  <c:v>4.7942085287886238E-2</c:v>
                </c:pt>
                <c:pt idx="73">
                  <c:v>4.7821345099928081E-2</c:v>
                </c:pt>
                <c:pt idx="74">
                  <c:v>4.769871016529148E-2</c:v>
                </c:pt>
                <c:pt idx="75">
                  <c:v>4.7574379762868491E-2</c:v>
                </c:pt>
                <c:pt idx="76">
                  <c:v>4.744854349728711E-2</c:v>
                </c:pt>
                <c:pt idx="77">
                  <c:v>4.7321381685502928E-2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B9-4013-8415-9A907A27D469}"/>
            </c:ext>
          </c:extLst>
        </c:ser>
        <c:ser>
          <c:idx val="1"/>
          <c:order val="1"/>
          <c:tx>
            <c:strRef>
              <c:f>NSS!$K$248</c:f>
              <c:strCache>
                <c:ptCount val="1"/>
                <c:pt idx="0">
                  <c:v>Spot</c:v>
                </c:pt>
              </c:strCache>
            </c:strRef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NSS!$L$2:$CK$2</c:f>
              <c:numCache>
                <c:formatCode>General</c:formatCode>
                <c:ptCount val="78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</c:v>
                </c:pt>
                <c:pt idx="48">
                  <c:v>24.5</c:v>
                </c:pt>
                <c:pt idx="49">
                  <c:v>25</c:v>
                </c:pt>
                <c:pt idx="50">
                  <c:v>25.5</c:v>
                </c:pt>
                <c:pt idx="51">
                  <c:v>26</c:v>
                </c:pt>
                <c:pt idx="52">
                  <c:v>26.5</c:v>
                </c:pt>
                <c:pt idx="53">
                  <c:v>27</c:v>
                </c:pt>
                <c:pt idx="54">
                  <c:v>27.5</c:v>
                </c:pt>
                <c:pt idx="55">
                  <c:v>28</c:v>
                </c:pt>
                <c:pt idx="56">
                  <c:v>28.5</c:v>
                </c:pt>
                <c:pt idx="57">
                  <c:v>29</c:v>
                </c:pt>
                <c:pt idx="58">
                  <c:v>29.5</c:v>
                </c:pt>
                <c:pt idx="59">
                  <c:v>30</c:v>
                </c:pt>
                <c:pt idx="60">
                  <c:v>30.5</c:v>
                </c:pt>
                <c:pt idx="61">
                  <c:v>31</c:v>
                </c:pt>
                <c:pt idx="62">
                  <c:v>31.5</c:v>
                </c:pt>
                <c:pt idx="63">
                  <c:v>32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</c:numCache>
            </c:numRef>
          </c:xVal>
          <c:yVal>
            <c:numRef>
              <c:f>NSS!$L$248:$CK$248</c:f>
              <c:numCache>
                <c:formatCode>0.00%</c:formatCode>
                <c:ptCount val="78"/>
                <c:pt idx="0">
                  <c:v>1.6787222526608105E-2</c:v>
                </c:pt>
                <c:pt idx="1">
                  <c:v>1.6898380000111735E-2</c:v>
                </c:pt>
                <c:pt idx="2">
                  <c:v>1.7865688058249389E-2</c:v>
                </c:pt>
                <c:pt idx="3">
                  <c:v>1.8802323715751423E-2</c:v>
                </c:pt>
                <c:pt idx="4">
                  <c:v>1.9709191186969871E-2</c:v>
                </c:pt>
                <c:pt idx="5">
                  <c:v>2.0587168711067888E-2</c:v>
                </c:pt>
                <c:pt idx="6">
                  <c:v>2.1437109289184651E-2</c:v>
                </c:pt>
                <c:pt idx="7">
                  <c:v>2.2259841400819387E-2</c:v>
                </c:pt>
                <c:pt idx="8">
                  <c:v>2.3056169700017514E-2</c:v>
                </c:pt>
                <c:pt idx="9">
                  <c:v>2.3826875691926739E-2</c:v>
                </c:pt>
                <c:pt idx="10">
                  <c:v>2.4572718390273661E-2</c:v>
                </c:pt>
                <c:pt idx="11">
                  <c:v>2.5294434956297119E-2</c:v>
                </c:pt>
                <c:pt idx="12">
                  <c:v>2.5992741319658862E-2</c:v>
                </c:pt>
                <c:pt idx="13">
                  <c:v>2.6668332781837681E-2</c:v>
                </c:pt>
                <c:pt idx="14">
                  <c:v>2.732188460249934E-2</c:v>
                </c:pt>
                <c:pt idx="15">
                  <c:v>2.7954052569320126E-2</c:v>
                </c:pt>
                <c:pt idx="16">
                  <c:v>2.856547355172917E-2</c:v>
                </c:pt>
                <c:pt idx="17">
                  <c:v>2.9156766039021259E-2</c:v>
                </c:pt>
                <c:pt idx="18">
                  <c:v>2.9728530663279264E-2</c:v>
                </c:pt>
                <c:pt idx="19">
                  <c:v>3.0281350707533117E-2</c:v>
                </c:pt>
                <c:pt idx="20">
                  <c:v>3.0815792599570152E-2</c:v>
                </c:pt>
                <c:pt idx="21">
                  <c:v>3.1332406391800238E-2</c:v>
                </c:pt>
                <c:pt idx="22">
                  <c:v>3.1831726227567414E-2</c:v>
                </c:pt>
                <c:pt idx="23">
                  <c:v>3.2314270794289342E-2</c:v>
                </c:pt>
                <c:pt idx="24">
                  <c:v>3.278054376379462E-2</c:v>
                </c:pt>
                <c:pt idx="25">
                  <c:v>3.3231034220218045E-2</c:v>
                </c:pt>
                <c:pt idx="26">
                  <c:v>3.3666217075803542E-2</c:v>
                </c:pt>
                <c:pt idx="27">
                  <c:v>3.4086553474955011E-2</c:v>
                </c:pt>
                <c:pt idx="28">
                  <c:v>3.4492491186865343E-2</c:v>
                </c:pt>
                <c:pt idx="29">
                  <c:v>3.4884464987045047E-2</c:v>
                </c:pt>
                <c:pt idx="30">
                  <c:v>3.5262897028062616E-2</c:v>
                </c:pt>
                <c:pt idx="31">
                  <c:v>3.5628197199800135E-2</c:v>
                </c:pt>
                <c:pt idx="32">
                  <c:v>3.5980763479519159E-2</c:v>
                </c:pt>
                <c:pt idx="33">
                  <c:v>3.6320982272023482E-2</c:v>
                </c:pt>
                <c:pt idx="34">
                  <c:v>3.6649228740197506E-2</c:v>
                </c:pt>
                <c:pt idx="35">
                  <c:v>3.6965867126191113E-2</c:v>
                </c:pt>
                <c:pt idx="36">
                  <c:v>3.7271251063514074E-2</c:v>
                </c:pt>
                <c:pt idx="37">
                  <c:v>3.7565723880296185E-2</c:v>
                </c:pt>
                <c:pt idx="38">
                  <c:v>3.7849618893961601E-2</c:v>
                </c:pt>
                <c:pt idx="39">
                  <c:v>3.8123259697559003E-2</c:v>
                </c:pt>
                <c:pt idx="40">
                  <c:v>3.8386960437982925E-2</c:v>
                </c:pt>
                <c:pt idx="41">
                  <c:v>3.8641026086314055E-2</c:v>
                </c:pt>
                <c:pt idx="42">
                  <c:v>3.8885752700500875E-2</c:v>
                </c:pt>
                <c:pt idx="43">
                  <c:v>3.9121427680598161E-2</c:v>
                </c:pt>
                <c:pt idx="44">
                  <c:v>3.9348330016771925E-2</c:v>
                </c:pt>
                <c:pt idx="45">
                  <c:v>3.956673053027486E-2</c:v>
                </c:pt>
                <c:pt idx="46">
                  <c:v>3.9776892107589917E-2</c:v>
                </c:pt>
                <c:pt idx="47">
                  <c:v>3.9979069927934985E-2</c:v>
                </c:pt>
                <c:pt idx="48">
                  <c:v>4.0173511684315294E-2</c:v>
                </c:pt>
                <c:pt idx="49">
                  <c:v>4.0360457798305757E-2</c:v>
                </c:pt>
                <c:pt idx="50">
                  <c:v>4.0540141628739819E-2</c:v>
                </c:pt>
                <c:pt idx="51">
                  <c:v>4.0712789674476536E-2</c:v>
                </c:pt>
                <c:pt idx="52">
                  <c:v>4.0878621771412937E-2</c:v>
                </c:pt>
                <c:pt idx="53">
                  <c:v>4.1037851283903949E-2</c:v>
                </c:pt>
                <c:pt idx="54">
                  <c:v>4.1190685290747438E-2</c:v>
                </c:pt>
                <c:pt idx="55">
                  <c:v>4.133732476588782E-2</c:v>
                </c:pt>
                <c:pt idx="56">
                  <c:v>4.1477964753987066E-2</c:v>
                </c:pt>
                <c:pt idx="57">
                  <c:v>4.1612794541007983E-2</c:v>
                </c:pt>
                <c:pt idx="58">
                  <c:v>4.1741997819950499E-2</c:v>
                </c:pt>
                <c:pt idx="59">
                  <c:v>4.1865752851877616E-2</c:v>
                </c:pt>
                <c:pt idx="60">
                  <c:v>4.1984232622364073E-2</c:v>
                </c:pt>
                <c:pt idx="61">
                  <c:v>4.2097604993496796E-2</c:v>
                </c:pt>
                <c:pt idx="62">
                  <c:v>4.2206032851552798E-2</c:v>
                </c:pt>
                <c:pt idx="63">
                  <c:v>4.230967425047652E-2</c:v>
                </c:pt>
                <c:pt idx="64">
                  <c:v>4.2408682551275168E-2</c:v>
                </c:pt>
                <c:pt idx="65">
                  <c:v>4.2503206557447382E-2</c:v>
                </c:pt>
                <c:pt idx="66">
                  <c:v>4.2593390646557198E-2</c:v>
                </c:pt>
                <c:pt idx="67">
                  <c:v>4.2679374898062283E-2</c:v>
                </c:pt>
                <c:pt idx="68">
                  <c:v>4.2761295217502118E-2</c:v>
                </c:pt>
                <c:pt idx="69">
                  <c:v>4.2839283457149102E-2</c:v>
                </c:pt>
                <c:pt idx="70">
                  <c:v>4.2913467533222435E-2</c:v>
                </c:pt>
                <c:pt idx="71">
                  <c:v>4.2983971539761995E-2</c:v>
                </c:pt>
                <c:pt idx="72">
                  <c:v>4.3050915859256522E-2</c:v>
                </c:pt>
                <c:pt idx="73">
                  <c:v>4.3114417270117965E-2</c:v>
                </c:pt>
                <c:pt idx="74">
                  <c:v>4.3174589051091082E-2</c:v>
                </c:pt>
                <c:pt idx="75">
                  <c:v>4.3231541082684996E-2</c:v>
                </c:pt>
                <c:pt idx="76">
                  <c:v>4.3285379945710939E-2</c:v>
                </c:pt>
                <c:pt idx="77">
                  <c:v>4.3336209017007972E-2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B9-4013-8415-9A907A27D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519264"/>
        <c:axId val="178521584"/>
      </c:scatterChart>
      <c:valAx>
        <c:axId val="17851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21584"/>
        <c:crosses val="autoZero"/>
        <c:crossBetween val="midCat"/>
      </c:valAx>
      <c:valAx>
        <c:axId val="17852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19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Model and market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NSS!$D$2</c:f>
              <c:strCache>
                <c:ptCount val="1"/>
                <c:pt idx="0">
                  <c:v>Model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xVal>
            <c:numRef>
              <c:f>NSS!$A$3:$A$231</c:f>
              <c:numCache>
                <c:formatCode>0.0</c:formatCode>
                <c:ptCount val="229"/>
                <c:pt idx="0">
                  <c:v>0.5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1.5</c:v>
                </c:pt>
                <c:pt idx="6">
                  <c:v>1.5</c:v>
                </c:pt>
                <c:pt idx="7">
                  <c:v>2</c:v>
                </c:pt>
                <c:pt idx="8">
                  <c:v>2.5</c:v>
                </c:pt>
                <c:pt idx="9">
                  <c:v>3</c:v>
                </c:pt>
                <c:pt idx="10">
                  <c:v>4.5</c:v>
                </c:pt>
                <c:pt idx="11">
                  <c:v>6</c:v>
                </c:pt>
                <c:pt idx="12">
                  <c:v>10</c:v>
                </c:pt>
              </c:numCache>
            </c:numRef>
          </c:xVal>
          <c:yVal>
            <c:numRef>
              <c:f>NSS!$D$3:$D$231</c:f>
              <c:numCache>
                <c:formatCode>0.00</c:formatCode>
                <c:ptCount val="229"/>
                <c:pt idx="0">
                  <c:v>99.537994007267216</c:v>
                </c:pt>
                <c:pt idx="1">
                  <c:v>99.155931520123531</c:v>
                </c:pt>
                <c:pt idx="2">
                  <c:v>98.7727634702035</c:v>
                </c:pt>
                <c:pt idx="3">
                  <c:v>98.555503235712777</c:v>
                </c:pt>
                <c:pt idx="4">
                  <c:v>98.861642657040619</c:v>
                </c:pt>
                <c:pt idx="5">
                  <c:v>98.514089839826696</c:v>
                </c:pt>
                <c:pt idx="6">
                  <c:v>98.160224150025655</c:v>
                </c:pt>
                <c:pt idx="7">
                  <c:v>97.634058259473946</c:v>
                </c:pt>
                <c:pt idx="8">
                  <c:v>96.789594065700271</c:v>
                </c:pt>
                <c:pt idx="9">
                  <c:v>94.940492467039533</c:v>
                </c:pt>
                <c:pt idx="10">
                  <c:v>92.123966191716605</c:v>
                </c:pt>
                <c:pt idx="11">
                  <c:v>89.702502276574961</c:v>
                </c:pt>
                <c:pt idx="12">
                  <c:v>80.220009259997155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44-424D-B9B5-F27CB084A274}"/>
            </c:ext>
          </c:extLst>
        </c:ser>
        <c:ser>
          <c:idx val="1"/>
          <c:order val="1"/>
          <c:tx>
            <c:strRef>
              <c:f>NSS!$C$2</c:f>
              <c:strCache>
                <c:ptCount val="1"/>
                <c:pt idx="0">
                  <c:v>Market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NSS!$A$3:$A$231</c:f>
              <c:numCache>
                <c:formatCode>0.0</c:formatCode>
                <c:ptCount val="229"/>
                <c:pt idx="0">
                  <c:v>0.5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1.5</c:v>
                </c:pt>
                <c:pt idx="6">
                  <c:v>1.5</c:v>
                </c:pt>
                <c:pt idx="7">
                  <c:v>2</c:v>
                </c:pt>
                <c:pt idx="8">
                  <c:v>2.5</c:v>
                </c:pt>
                <c:pt idx="9">
                  <c:v>3</c:v>
                </c:pt>
                <c:pt idx="10">
                  <c:v>4.5</c:v>
                </c:pt>
                <c:pt idx="11">
                  <c:v>6</c:v>
                </c:pt>
                <c:pt idx="12">
                  <c:v>10</c:v>
                </c:pt>
              </c:numCache>
            </c:numRef>
          </c:xVal>
          <c:yVal>
            <c:numRef>
              <c:f>NSS!$C$3:$C$231</c:f>
              <c:numCache>
                <c:formatCode>0.00</c:formatCode>
                <c:ptCount val="229"/>
                <c:pt idx="0">
                  <c:v>99.537999999999997</c:v>
                </c:pt>
                <c:pt idx="1">
                  <c:v>99.092500000000001</c:v>
                </c:pt>
                <c:pt idx="2">
                  <c:v>98.719500000000011</c:v>
                </c:pt>
                <c:pt idx="3">
                  <c:v>98.58850000000001</c:v>
                </c:pt>
                <c:pt idx="4">
                  <c:v>98.543499999999995</c:v>
                </c:pt>
                <c:pt idx="5">
                  <c:v>98.362499999999997</c:v>
                </c:pt>
                <c:pt idx="6">
                  <c:v>98.171999999999997</c:v>
                </c:pt>
                <c:pt idx="7">
                  <c:v>97.513999999999996</c:v>
                </c:pt>
                <c:pt idx="8">
                  <c:v>96.853999999999999</c:v>
                </c:pt>
                <c:pt idx="9">
                  <c:v>95.417500000000004</c:v>
                </c:pt>
                <c:pt idx="10">
                  <c:v>91.959000000000003</c:v>
                </c:pt>
                <c:pt idx="11">
                  <c:v>89.953999999999994</c:v>
                </c:pt>
                <c:pt idx="12">
                  <c:v>80.22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44-424D-B9B5-F27CB084A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34752"/>
        <c:axId val="184037456"/>
      </c:scatterChart>
      <c:valAx>
        <c:axId val="184034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Maturity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37456"/>
        <c:crosses val="autoZero"/>
        <c:crossBetween val="midCat"/>
      </c:valAx>
      <c:valAx>
        <c:axId val="184037456"/>
        <c:scaling>
          <c:orientation val="minMax"/>
          <c:max val="1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34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Error (Model - Market prices)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NSS!$A$3:$A$231</c:f>
              <c:numCache>
                <c:formatCode>0.0</c:formatCode>
                <c:ptCount val="229"/>
                <c:pt idx="0">
                  <c:v>0.5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1.5</c:v>
                </c:pt>
                <c:pt idx="6">
                  <c:v>1.5</c:v>
                </c:pt>
                <c:pt idx="7">
                  <c:v>2</c:v>
                </c:pt>
                <c:pt idx="8">
                  <c:v>2.5</c:v>
                </c:pt>
                <c:pt idx="9">
                  <c:v>3</c:v>
                </c:pt>
                <c:pt idx="10">
                  <c:v>4.5</c:v>
                </c:pt>
                <c:pt idx="11">
                  <c:v>6</c:v>
                </c:pt>
                <c:pt idx="12">
                  <c:v>10</c:v>
                </c:pt>
              </c:numCache>
            </c:numRef>
          </c:xVal>
          <c:yVal>
            <c:numRef>
              <c:f>NSS!$E$3:$E$231</c:f>
              <c:numCache>
                <c:formatCode>0.00</c:formatCode>
                <c:ptCount val="229"/>
                <c:pt idx="0">
                  <c:v>-5.9927327811237774E-6</c:v>
                </c:pt>
                <c:pt idx="1">
                  <c:v>6.3431520123529594E-2</c:v>
                </c:pt>
                <c:pt idx="2">
                  <c:v>5.326347020348976E-2</c:v>
                </c:pt>
                <c:pt idx="3">
                  <c:v>-3.2996764287233304E-2</c:v>
                </c:pt>
                <c:pt idx="4">
                  <c:v>0.3181426570406245</c:v>
                </c:pt>
                <c:pt idx="5">
                  <c:v>0.15158983982669838</c:v>
                </c:pt>
                <c:pt idx="6">
                  <c:v>-1.1775849974341668E-2</c:v>
                </c:pt>
                <c:pt idx="7">
                  <c:v>0.1200582594739501</c:v>
                </c:pt>
                <c:pt idx="8">
                  <c:v>-6.4405934299728074E-2</c:v>
                </c:pt>
                <c:pt idx="9">
                  <c:v>-0.47700753296047083</c:v>
                </c:pt>
                <c:pt idx="10">
                  <c:v>0.16496619171660143</c:v>
                </c:pt>
                <c:pt idx="11">
                  <c:v>-0.2514977234250324</c:v>
                </c:pt>
                <c:pt idx="12">
                  <c:v>9.2599971566187378E-6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EE-4174-8EF1-D8EF7D2C8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53184"/>
        <c:axId val="184056304"/>
      </c:scatterChart>
      <c:valAx>
        <c:axId val="184053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Maturity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56304"/>
        <c:crosses val="autoZero"/>
        <c:crossBetween val="midCat"/>
      </c:valAx>
      <c:valAx>
        <c:axId val="18405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53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Error (Model - Market yield)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358137484723"/>
          <c:y val="0.165764071157772"/>
          <c:w val="0.82840789939425497"/>
          <c:h val="0.69798592884222799"/>
        </c:manualLayout>
      </c:layout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NSS!$A$3:$A$231</c:f>
              <c:numCache>
                <c:formatCode>0.0</c:formatCode>
                <c:ptCount val="229"/>
                <c:pt idx="0">
                  <c:v>0.5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1.5</c:v>
                </c:pt>
                <c:pt idx="6">
                  <c:v>1.5</c:v>
                </c:pt>
                <c:pt idx="7">
                  <c:v>2</c:v>
                </c:pt>
                <c:pt idx="8">
                  <c:v>2.5</c:v>
                </c:pt>
                <c:pt idx="9">
                  <c:v>3</c:v>
                </c:pt>
                <c:pt idx="10">
                  <c:v>4.5</c:v>
                </c:pt>
                <c:pt idx="11">
                  <c:v>6</c:v>
                </c:pt>
                <c:pt idx="12">
                  <c:v>10</c:v>
                </c:pt>
              </c:numCache>
            </c:numRef>
          </c:xVal>
          <c:yVal>
            <c:numRef>
              <c:f>NSS!$I$3:$I$231</c:f>
              <c:numCache>
                <c:formatCode>0.00%</c:formatCode>
                <c:ptCount val="229"/>
                <c:pt idx="0">
                  <c:v>6.0708715388102519E-8</c:v>
                </c:pt>
                <c:pt idx="1">
                  <c:v>-3.2337309291174954E-4</c:v>
                </c:pt>
                <c:pt idx="2">
                  <c:v>-2.7230569049341291E-4</c:v>
                </c:pt>
                <c:pt idx="3">
                  <c:v>1.6886147348760261E-4</c:v>
                </c:pt>
                <c:pt idx="4">
                  <c:v>-1.6286624953512074E-3</c:v>
                </c:pt>
                <c:pt idx="5">
                  <c:v>-5.2002290519403971E-4</c:v>
                </c:pt>
                <c:pt idx="6">
                  <c:v>4.0448795273428928E-5</c:v>
                </c:pt>
                <c:pt idx="7">
                  <c:v>-3.1209200366211221E-4</c:v>
                </c:pt>
                <c:pt idx="8">
                  <c:v>1.3520896564744866E-4</c:v>
                </c:pt>
                <c:pt idx="9">
                  <c:v>8.4674175512988725E-4</c:v>
                </c:pt>
                <c:pt idx="10">
                  <c:v>-2.03307959642407E-4</c:v>
                </c:pt>
                <c:pt idx="11">
                  <c:v>2.4074008244201472E-4</c:v>
                </c:pt>
                <c:pt idx="12">
                  <c:v>-6.0810363411434309E-9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A5-4A15-BC9B-5D61782EF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393168"/>
        <c:axId val="184396288"/>
      </c:scatterChart>
      <c:valAx>
        <c:axId val="184393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Maturity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96288"/>
        <c:crosses val="autoZero"/>
        <c:crossBetween val="midCat"/>
      </c:valAx>
      <c:valAx>
        <c:axId val="184396288"/>
        <c:scaling>
          <c:orientation val="minMax"/>
          <c:max val="2.5000000000000001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 bp&quot;%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93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Visualization split by component (Really far into the future)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NSS!$CO$2</c:f>
              <c:strCache>
                <c:ptCount val="1"/>
                <c:pt idx="0">
                  <c:v>Long term spot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NSS!$CN$3:$CN$503</c:f>
              <c:numCache>
                <c:formatCode>General</c:formatCode>
                <c:ptCount val="501"/>
                <c:pt idx="0" formatCode="0">
                  <c:v>9.9999999999999995E-7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 formatCode="0.0">
                  <c:v>32</c:v>
                </c:pt>
                <c:pt idx="65" formatCode="0.0">
                  <c:v>32.5</c:v>
                </c:pt>
                <c:pt idx="66" formatCode="0.0">
                  <c:v>33</c:v>
                </c:pt>
                <c:pt idx="67" formatCode="0.0">
                  <c:v>33.5</c:v>
                </c:pt>
                <c:pt idx="68" formatCode="0.0">
                  <c:v>34</c:v>
                </c:pt>
                <c:pt idx="69" formatCode="0.0">
                  <c:v>34.5</c:v>
                </c:pt>
                <c:pt idx="70" formatCode="0.0">
                  <c:v>35</c:v>
                </c:pt>
                <c:pt idx="71" formatCode="0.0">
                  <c:v>35.5</c:v>
                </c:pt>
                <c:pt idx="72" formatCode="0.0">
                  <c:v>36</c:v>
                </c:pt>
                <c:pt idx="73" formatCode="0.0">
                  <c:v>36.5</c:v>
                </c:pt>
                <c:pt idx="74" formatCode="0.0">
                  <c:v>37</c:v>
                </c:pt>
                <c:pt idx="75" formatCode="0.0">
                  <c:v>37.5</c:v>
                </c:pt>
                <c:pt idx="76" formatCode="0.0">
                  <c:v>38</c:v>
                </c:pt>
                <c:pt idx="77" formatCode="0.0">
                  <c:v>38.5</c:v>
                </c:pt>
                <c:pt idx="78" formatCode="0.0">
                  <c:v>39</c:v>
                </c:pt>
                <c:pt idx="79" formatCode="0.0">
                  <c:v>39.5</c:v>
                </c:pt>
                <c:pt idx="80" formatCode="0.0">
                  <c:v>40</c:v>
                </c:pt>
                <c:pt idx="81" formatCode="0.0">
                  <c:v>40.5</c:v>
                </c:pt>
                <c:pt idx="82" formatCode="0.0">
                  <c:v>41</c:v>
                </c:pt>
                <c:pt idx="83" formatCode="0.0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</c:numCache>
            </c:numRef>
          </c:cat>
          <c:val>
            <c:numRef>
              <c:f>NSS!$CO$3:$CO$503</c:f>
              <c:numCache>
                <c:formatCode>0.00%</c:formatCode>
                <c:ptCount val="501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0.05</c:v>
                </c:pt>
                <c:pt idx="37">
                  <c:v>0.05</c:v>
                </c:pt>
                <c:pt idx="38">
                  <c:v>0.05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0.05</c:v>
                </c:pt>
                <c:pt idx="43">
                  <c:v>0.05</c:v>
                </c:pt>
                <c:pt idx="44">
                  <c:v>0.05</c:v>
                </c:pt>
                <c:pt idx="45">
                  <c:v>0.05</c:v>
                </c:pt>
                <c:pt idx="46">
                  <c:v>0.05</c:v>
                </c:pt>
                <c:pt idx="47">
                  <c:v>0.05</c:v>
                </c:pt>
                <c:pt idx="48">
                  <c:v>0.05</c:v>
                </c:pt>
                <c:pt idx="49">
                  <c:v>0.05</c:v>
                </c:pt>
                <c:pt idx="50">
                  <c:v>0.05</c:v>
                </c:pt>
                <c:pt idx="51">
                  <c:v>0.05</c:v>
                </c:pt>
                <c:pt idx="52">
                  <c:v>0.05</c:v>
                </c:pt>
                <c:pt idx="53">
                  <c:v>0.05</c:v>
                </c:pt>
                <c:pt idx="54">
                  <c:v>0.05</c:v>
                </c:pt>
                <c:pt idx="55">
                  <c:v>0.05</c:v>
                </c:pt>
                <c:pt idx="56">
                  <c:v>0.05</c:v>
                </c:pt>
                <c:pt idx="57">
                  <c:v>0.05</c:v>
                </c:pt>
                <c:pt idx="58">
                  <c:v>0.05</c:v>
                </c:pt>
                <c:pt idx="59">
                  <c:v>0.05</c:v>
                </c:pt>
                <c:pt idx="60">
                  <c:v>0.05</c:v>
                </c:pt>
                <c:pt idx="61">
                  <c:v>0.05</c:v>
                </c:pt>
                <c:pt idx="62">
                  <c:v>0.05</c:v>
                </c:pt>
                <c:pt idx="63">
                  <c:v>0.05</c:v>
                </c:pt>
                <c:pt idx="64" formatCode="0.0%">
                  <c:v>0.05</c:v>
                </c:pt>
                <c:pt idx="65" formatCode="0.0%">
                  <c:v>0.05</c:v>
                </c:pt>
                <c:pt idx="66" formatCode="0.0%">
                  <c:v>0.05</c:v>
                </c:pt>
                <c:pt idx="67" formatCode="0.0%">
                  <c:v>0.05</c:v>
                </c:pt>
                <c:pt idx="68" formatCode="0.0%">
                  <c:v>0.05</c:v>
                </c:pt>
                <c:pt idx="69" formatCode="0.0%">
                  <c:v>0.05</c:v>
                </c:pt>
                <c:pt idx="70" formatCode="0.0%">
                  <c:v>0.05</c:v>
                </c:pt>
                <c:pt idx="71" formatCode="0.0%">
                  <c:v>0.05</c:v>
                </c:pt>
                <c:pt idx="72" formatCode="0.0%">
                  <c:v>0.05</c:v>
                </c:pt>
                <c:pt idx="73" formatCode="0.0%">
                  <c:v>0.05</c:v>
                </c:pt>
                <c:pt idx="74" formatCode="0.0%">
                  <c:v>0.05</c:v>
                </c:pt>
                <c:pt idx="75" formatCode="0.0%">
                  <c:v>0.05</c:v>
                </c:pt>
                <c:pt idx="76" formatCode="0.0%">
                  <c:v>0.05</c:v>
                </c:pt>
                <c:pt idx="77" formatCode="0.0%">
                  <c:v>0.05</c:v>
                </c:pt>
                <c:pt idx="78" formatCode="0.0%">
                  <c:v>0.05</c:v>
                </c:pt>
                <c:pt idx="79" formatCode="0.0%">
                  <c:v>0.05</c:v>
                </c:pt>
                <c:pt idx="80" formatCode="0.0%">
                  <c:v>0.05</c:v>
                </c:pt>
                <c:pt idx="81" formatCode="0.0%">
                  <c:v>0.05</c:v>
                </c:pt>
                <c:pt idx="82" formatCode="0.0%">
                  <c:v>0.05</c:v>
                </c:pt>
                <c:pt idx="83" formatCode="0.0%">
                  <c:v>0.05</c:v>
                </c:pt>
                <c:pt idx="84" formatCode="0.0%">
                  <c:v>0.05</c:v>
                </c:pt>
                <c:pt idx="85" formatCode="0.0%">
                  <c:v>0.05</c:v>
                </c:pt>
                <c:pt idx="86" formatCode="0.0%">
                  <c:v>0.05</c:v>
                </c:pt>
                <c:pt idx="87" formatCode="0.0%">
                  <c:v>0.05</c:v>
                </c:pt>
                <c:pt idx="88" formatCode="0.0%">
                  <c:v>0.05</c:v>
                </c:pt>
                <c:pt idx="89" formatCode="0.0%">
                  <c:v>0.05</c:v>
                </c:pt>
                <c:pt idx="90" formatCode="0.0%">
                  <c:v>0.05</c:v>
                </c:pt>
                <c:pt idx="91" formatCode="0.0%">
                  <c:v>0.05</c:v>
                </c:pt>
                <c:pt idx="92" formatCode="0.0%">
                  <c:v>0.05</c:v>
                </c:pt>
                <c:pt idx="93" formatCode="0.0%">
                  <c:v>0.05</c:v>
                </c:pt>
                <c:pt idx="94" formatCode="0.0%">
                  <c:v>0.05</c:v>
                </c:pt>
                <c:pt idx="95" formatCode="0.0%">
                  <c:v>0.05</c:v>
                </c:pt>
                <c:pt idx="96" formatCode="0.0%">
                  <c:v>0.05</c:v>
                </c:pt>
                <c:pt idx="97" formatCode="0.0%">
                  <c:v>0.05</c:v>
                </c:pt>
                <c:pt idx="98" formatCode="0.0%">
                  <c:v>0.05</c:v>
                </c:pt>
                <c:pt idx="99" formatCode="0.0%">
                  <c:v>0.05</c:v>
                </c:pt>
                <c:pt idx="100" formatCode="0.0%">
                  <c:v>0.05</c:v>
                </c:pt>
                <c:pt idx="101" formatCode="0.0%">
                  <c:v>0.05</c:v>
                </c:pt>
                <c:pt idx="102" formatCode="0.0%">
                  <c:v>0.05</c:v>
                </c:pt>
                <c:pt idx="103" formatCode="0.0%">
                  <c:v>0.05</c:v>
                </c:pt>
                <c:pt idx="104" formatCode="0.0%">
                  <c:v>0.05</c:v>
                </c:pt>
                <c:pt idx="105" formatCode="0.0%">
                  <c:v>0.05</c:v>
                </c:pt>
                <c:pt idx="106" formatCode="0.0%">
                  <c:v>0.05</c:v>
                </c:pt>
                <c:pt idx="107" formatCode="0.0%">
                  <c:v>0.05</c:v>
                </c:pt>
                <c:pt idx="108" formatCode="0.0%">
                  <c:v>0.05</c:v>
                </c:pt>
                <c:pt idx="109" formatCode="0.0%">
                  <c:v>0.05</c:v>
                </c:pt>
                <c:pt idx="110" formatCode="0.0%">
                  <c:v>0.05</c:v>
                </c:pt>
                <c:pt idx="111" formatCode="0.0%">
                  <c:v>0.05</c:v>
                </c:pt>
                <c:pt idx="112" formatCode="0.0%">
                  <c:v>0.05</c:v>
                </c:pt>
                <c:pt idx="113" formatCode="0.0%">
                  <c:v>0.05</c:v>
                </c:pt>
                <c:pt idx="114" formatCode="0.0%">
                  <c:v>0.05</c:v>
                </c:pt>
                <c:pt idx="115" formatCode="0.0%">
                  <c:v>0.05</c:v>
                </c:pt>
                <c:pt idx="116" formatCode="0.0%">
                  <c:v>0.05</c:v>
                </c:pt>
                <c:pt idx="117" formatCode="0.0%">
                  <c:v>0.05</c:v>
                </c:pt>
                <c:pt idx="118" formatCode="0.0%">
                  <c:v>0.05</c:v>
                </c:pt>
                <c:pt idx="119" formatCode="0.0%">
                  <c:v>0.05</c:v>
                </c:pt>
                <c:pt idx="120" formatCode="0.0%">
                  <c:v>0.05</c:v>
                </c:pt>
                <c:pt idx="121" formatCode="0.0%">
                  <c:v>0.05</c:v>
                </c:pt>
                <c:pt idx="122" formatCode="0.0%">
                  <c:v>0.05</c:v>
                </c:pt>
                <c:pt idx="123" formatCode="0.0%">
                  <c:v>0.05</c:v>
                </c:pt>
                <c:pt idx="124" formatCode="0.0%">
                  <c:v>0.05</c:v>
                </c:pt>
                <c:pt idx="125" formatCode="0.0%">
                  <c:v>0.05</c:v>
                </c:pt>
                <c:pt idx="126" formatCode="0.0%">
                  <c:v>0.05</c:v>
                </c:pt>
                <c:pt idx="127" formatCode="0.0%">
                  <c:v>0.05</c:v>
                </c:pt>
                <c:pt idx="128" formatCode="0.0%">
                  <c:v>0.05</c:v>
                </c:pt>
                <c:pt idx="129" formatCode="0.0%">
                  <c:v>0.05</c:v>
                </c:pt>
                <c:pt idx="130" formatCode="0.0%">
                  <c:v>0.05</c:v>
                </c:pt>
                <c:pt idx="131" formatCode="0.0%">
                  <c:v>0.05</c:v>
                </c:pt>
                <c:pt idx="132" formatCode="0.0%">
                  <c:v>0.05</c:v>
                </c:pt>
                <c:pt idx="133" formatCode="0.0%">
                  <c:v>0.05</c:v>
                </c:pt>
                <c:pt idx="134" formatCode="0.0%">
                  <c:v>0.05</c:v>
                </c:pt>
                <c:pt idx="135" formatCode="0.0%">
                  <c:v>0.05</c:v>
                </c:pt>
                <c:pt idx="136" formatCode="0.0%">
                  <c:v>0.05</c:v>
                </c:pt>
                <c:pt idx="137" formatCode="0.0%">
                  <c:v>0.05</c:v>
                </c:pt>
                <c:pt idx="138" formatCode="0.0%">
                  <c:v>0.05</c:v>
                </c:pt>
                <c:pt idx="139" formatCode="0.0%">
                  <c:v>0.05</c:v>
                </c:pt>
                <c:pt idx="140" formatCode="0.0%">
                  <c:v>0.05</c:v>
                </c:pt>
                <c:pt idx="141" formatCode="0.0%">
                  <c:v>0.05</c:v>
                </c:pt>
                <c:pt idx="142" formatCode="0.0%">
                  <c:v>0.05</c:v>
                </c:pt>
                <c:pt idx="143" formatCode="0.0%">
                  <c:v>0.05</c:v>
                </c:pt>
                <c:pt idx="144" formatCode="0.0%">
                  <c:v>0.05</c:v>
                </c:pt>
                <c:pt idx="145" formatCode="0.0%">
                  <c:v>0.05</c:v>
                </c:pt>
                <c:pt idx="146" formatCode="0.0%">
                  <c:v>0.05</c:v>
                </c:pt>
                <c:pt idx="147" formatCode="0.0%">
                  <c:v>0.05</c:v>
                </c:pt>
                <c:pt idx="148" formatCode="0.0%">
                  <c:v>0.05</c:v>
                </c:pt>
                <c:pt idx="149" formatCode="0.0%">
                  <c:v>0.05</c:v>
                </c:pt>
                <c:pt idx="150" formatCode="0.0%">
                  <c:v>0.05</c:v>
                </c:pt>
                <c:pt idx="151" formatCode="0.0%">
                  <c:v>0.05</c:v>
                </c:pt>
                <c:pt idx="152" formatCode="0.0%">
                  <c:v>0.05</c:v>
                </c:pt>
                <c:pt idx="153" formatCode="0.0%">
                  <c:v>0.05</c:v>
                </c:pt>
                <c:pt idx="154" formatCode="0.0%">
                  <c:v>0.05</c:v>
                </c:pt>
                <c:pt idx="155" formatCode="0.0%">
                  <c:v>0.05</c:v>
                </c:pt>
                <c:pt idx="156" formatCode="0.0%">
                  <c:v>0.05</c:v>
                </c:pt>
                <c:pt idx="157" formatCode="0.0%">
                  <c:v>0.05</c:v>
                </c:pt>
                <c:pt idx="158" formatCode="0.0%">
                  <c:v>0.05</c:v>
                </c:pt>
                <c:pt idx="159" formatCode="0.0%">
                  <c:v>0.05</c:v>
                </c:pt>
                <c:pt idx="160" formatCode="0.0%">
                  <c:v>0.05</c:v>
                </c:pt>
                <c:pt idx="161" formatCode="0.0%">
                  <c:v>0.05</c:v>
                </c:pt>
                <c:pt idx="162" formatCode="0.0%">
                  <c:v>0.05</c:v>
                </c:pt>
                <c:pt idx="163" formatCode="0.0%">
                  <c:v>0.05</c:v>
                </c:pt>
                <c:pt idx="164" formatCode="0.0%">
                  <c:v>0.05</c:v>
                </c:pt>
                <c:pt idx="165" formatCode="0.0%">
                  <c:v>0.05</c:v>
                </c:pt>
                <c:pt idx="166" formatCode="0.0%">
                  <c:v>0.05</c:v>
                </c:pt>
                <c:pt idx="167" formatCode="0.0%">
                  <c:v>0.05</c:v>
                </c:pt>
                <c:pt idx="168" formatCode="0.0%">
                  <c:v>0.05</c:v>
                </c:pt>
                <c:pt idx="169" formatCode="0.0%">
                  <c:v>0.05</c:v>
                </c:pt>
                <c:pt idx="170" formatCode="0.0%">
                  <c:v>0.05</c:v>
                </c:pt>
                <c:pt idx="171" formatCode="0.0%">
                  <c:v>0.05</c:v>
                </c:pt>
                <c:pt idx="172" formatCode="0.0%">
                  <c:v>0.05</c:v>
                </c:pt>
                <c:pt idx="173" formatCode="0.0%">
                  <c:v>0.05</c:v>
                </c:pt>
                <c:pt idx="174" formatCode="0.0%">
                  <c:v>0.05</c:v>
                </c:pt>
                <c:pt idx="175" formatCode="0.0%">
                  <c:v>0.05</c:v>
                </c:pt>
                <c:pt idx="176" formatCode="0.0%">
                  <c:v>0.05</c:v>
                </c:pt>
                <c:pt idx="177" formatCode="0.0%">
                  <c:v>0.05</c:v>
                </c:pt>
                <c:pt idx="178" formatCode="0.0%">
                  <c:v>0.05</c:v>
                </c:pt>
                <c:pt idx="179" formatCode="0.0%">
                  <c:v>0.05</c:v>
                </c:pt>
                <c:pt idx="180" formatCode="0.0%">
                  <c:v>0.05</c:v>
                </c:pt>
                <c:pt idx="181" formatCode="0.0%">
                  <c:v>0.05</c:v>
                </c:pt>
                <c:pt idx="182" formatCode="0.0%">
                  <c:v>0.05</c:v>
                </c:pt>
                <c:pt idx="183" formatCode="0.0%">
                  <c:v>0.05</c:v>
                </c:pt>
                <c:pt idx="184" formatCode="0.0%">
                  <c:v>0.05</c:v>
                </c:pt>
                <c:pt idx="185" formatCode="0.0%">
                  <c:v>0.05</c:v>
                </c:pt>
                <c:pt idx="186" formatCode="0.0%">
                  <c:v>0.05</c:v>
                </c:pt>
                <c:pt idx="187" formatCode="0.0%">
                  <c:v>0.05</c:v>
                </c:pt>
                <c:pt idx="188" formatCode="0.0%">
                  <c:v>0.05</c:v>
                </c:pt>
                <c:pt idx="189" formatCode="0.0%">
                  <c:v>0.05</c:v>
                </c:pt>
                <c:pt idx="190" formatCode="0.0%">
                  <c:v>0.05</c:v>
                </c:pt>
                <c:pt idx="191" formatCode="0.0%">
                  <c:v>0.05</c:v>
                </c:pt>
                <c:pt idx="192" formatCode="0.0%">
                  <c:v>0.05</c:v>
                </c:pt>
                <c:pt idx="193" formatCode="0.0%">
                  <c:v>0.05</c:v>
                </c:pt>
                <c:pt idx="194" formatCode="0.0%">
                  <c:v>0.05</c:v>
                </c:pt>
                <c:pt idx="195" formatCode="0.0%">
                  <c:v>0.05</c:v>
                </c:pt>
                <c:pt idx="196" formatCode="0.0%">
                  <c:v>0.05</c:v>
                </c:pt>
                <c:pt idx="197" formatCode="0.0%">
                  <c:v>0.05</c:v>
                </c:pt>
                <c:pt idx="198" formatCode="0.0%">
                  <c:v>0.05</c:v>
                </c:pt>
                <c:pt idx="199" formatCode="0.0%">
                  <c:v>0.05</c:v>
                </c:pt>
                <c:pt idx="200" formatCode="0.0%">
                  <c:v>0.05</c:v>
                </c:pt>
                <c:pt idx="201" formatCode="0.0%">
                  <c:v>0.05</c:v>
                </c:pt>
                <c:pt idx="202" formatCode="0.0%">
                  <c:v>0.05</c:v>
                </c:pt>
                <c:pt idx="203" formatCode="0.0%">
                  <c:v>0.05</c:v>
                </c:pt>
                <c:pt idx="204" formatCode="0.0%">
                  <c:v>0.05</c:v>
                </c:pt>
                <c:pt idx="205" formatCode="0.0%">
                  <c:v>0.05</c:v>
                </c:pt>
                <c:pt idx="206" formatCode="0.0%">
                  <c:v>0.05</c:v>
                </c:pt>
                <c:pt idx="207" formatCode="0.0%">
                  <c:v>0.05</c:v>
                </c:pt>
                <c:pt idx="208" formatCode="0.0%">
                  <c:v>0.05</c:v>
                </c:pt>
                <c:pt idx="209" formatCode="0.0%">
                  <c:v>0.05</c:v>
                </c:pt>
                <c:pt idx="210" formatCode="0.0%">
                  <c:v>0.05</c:v>
                </c:pt>
                <c:pt idx="211" formatCode="0.0%">
                  <c:v>0.05</c:v>
                </c:pt>
                <c:pt idx="212" formatCode="0.0%">
                  <c:v>0.05</c:v>
                </c:pt>
                <c:pt idx="213" formatCode="0.0%">
                  <c:v>0.05</c:v>
                </c:pt>
                <c:pt idx="214" formatCode="0.0%">
                  <c:v>0.05</c:v>
                </c:pt>
                <c:pt idx="215" formatCode="0.0%">
                  <c:v>0.05</c:v>
                </c:pt>
                <c:pt idx="216" formatCode="0.0%">
                  <c:v>0.05</c:v>
                </c:pt>
                <c:pt idx="217" formatCode="0.0%">
                  <c:v>0.05</c:v>
                </c:pt>
                <c:pt idx="218" formatCode="0.0%">
                  <c:v>0.05</c:v>
                </c:pt>
                <c:pt idx="219" formatCode="0.0%">
                  <c:v>0.05</c:v>
                </c:pt>
                <c:pt idx="220" formatCode="0.0%">
                  <c:v>0.05</c:v>
                </c:pt>
                <c:pt idx="221" formatCode="0.0%">
                  <c:v>0.05</c:v>
                </c:pt>
                <c:pt idx="222" formatCode="0.0%">
                  <c:v>0.05</c:v>
                </c:pt>
                <c:pt idx="223" formatCode="0.0%">
                  <c:v>0.05</c:v>
                </c:pt>
                <c:pt idx="224" formatCode="0.0%">
                  <c:v>0.05</c:v>
                </c:pt>
                <c:pt idx="225" formatCode="0.0%">
                  <c:v>0.05</c:v>
                </c:pt>
                <c:pt idx="226" formatCode="0.0%">
                  <c:v>0.05</c:v>
                </c:pt>
                <c:pt idx="227" formatCode="0.0%">
                  <c:v>0.05</c:v>
                </c:pt>
                <c:pt idx="228" formatCode="0.0%">
                  <c:v>0.05</c:v>
                </c:pt>
                <c:pt idx="229" formatCode="0.0%">
                  <c:v>0.05</c:v>
                </c:pt>
                <c:pt idx="230" formatCode="0.0%">
                  <c:v>0.05</c:v>
                </c:pt>
                <c:pt idx="231" formatCode="0.0%">
                  <c:v>0.05</c:v>
                </c:pt>
                <c:pt idx="232" formatCode="0.0%">
                  <c:v>0.05</c:v>
                </c:pt>
                <c:pt idx="233" formatCode="0.0%">
                  <c:v>0.05</c:v>
                </c:pt>
                <c:pt idx="234" formatCode="0.0%">
                  <c:v>0.05</c:v>
                </c:pt>
                <c:pt idx="235" formatCode="0.0%">
                  <c:v>0.05</c:v>
                </c:pt>
                <c:pt idx="236" formatCode="0.0%">
                  <c:v>0.05</c:v>
                </c:pt>
                <c:pt idx="237" formatCode="0.0%">
                  <c:v>0.05</c:v>
                </c:pt>
                <c:pt idx="238" formatCode="0.0%">
                  <c:v>0.05</c:v>
                </c:pt>
                <c:pt idx="239" formatCode="0.0%">
                  <c:v>0.05</c:v>
                </c:pt>
                <c:pt idx="240" formatCode="0.0%">
                  <c:v>0.05</c:v>
                </c:pt>
                <c:pt idx="241" formatCode="0.0%">
                  <c:v>0.05</c:v>
                </c:pt>
                <c:pt idx="242" formatCode="0.0%">
                  <c:v>0.05</c:v>
                </c:pt>
                <c:pt idx="243" formatCode="0.0%">
                  <c:v>0.05</c:v>
                </c:pt>
                <c:pt idx="244" formatCode="0.0%">
                  <c:v>0.05</c:v>
                </c:pt>
                <c:pt idx="245" formatCode="0.0%">
                  <c:v>0.05</c:v>
                </c:pt>
                <c:pt idx="246" formatCode="0.0%">
                  <c:v>0.05</c:v>
                </c:pt>
                <c:pt idx="247" formatCode="0.0%">
                  <c:v>0.05</c:v>
                </c:pt>
                <c:pt idx="248" formatCode="0.0%">
                  <c:v>0.05</c:v>
                </c:pt>
                <c:pt idx="249" formatCode="0.0%">
                  <c:v>0.05</c:v>
                </c:pt>
                <c:pt idx="250" formatCode="0.0%">
                  <c:v>0.05</c:v>
                </c:pt>
                <c:pt idx="251" formatCode="0.0%">
                  <c:v>0.05</c:v>
                </c:pt>
                <c:pt idx="252" formatCode="0.0%">
                  <c:v>0.05</c:v>
                </c:pt>
                <c:pt idx="253" formatCode="General">
                  <c:v>0.05</c:v>
                </c:pt>
                <c:pt idx="254" formatCode="General">
                  <c:v>0.05</c:v>
                </c:pt>
                <c:pt idx="255" formatCode="General">
                  <c:v>0.05</c:v>
                </c:pt>
                <c:pt idx="256" formatCode="General">
                  <c:v>0.05</c:v>
                </c:pt>
                <c:pt idx="257" formatCode="General">
                  <c:v>0.05</c:v>
                </c:pt>
                <c:pt idx="258" formatCode="General">
                  <c:v>0.05</c:v>
                </c:pt>
                <c:pt idx="259" formatCode="General">
                  <c:v>0.05</c:v>
                </c:pt>
                <c:pt idx="260" formatCode="General">
                  <c:v>0.05</c:v>
                </c:pt>
                <c:pt idx="261" formatCode="General">
                  <c:v>0.05</c:v>
                </c:pt>
                <c:pt idx="262" formatCode="General">
                  <c:v>0.05</c:v>
                </c:pt>
                <c:pt idx="263" formatCode="General">
                  <c:v>0.05</c:v>
                </c:pt>
                <c:pt idx="264" formatCode="General">
                  <c:v>0.05</c:v>
                </c:pt>
                <c:pt idx="265" formatCode="General">
                  <c:v>0.05</c:v>
                </c:pt>
                <c:pt idx="266" formatCode="General">
                  <c:v>0.05</c:v>
                </c:pt>
                <c:pt idx="267" formatCode="General">
                  <c:v>0.05</c:v>
                </c:pt>
                <c:pt idx="268" formatCode="General">
                  <c:v>0.05</c:v>
                </c:pt>
                <c:pt idx="269" formatCode="General">
                  <c:v>0.05</c:v>
                </c:pt>
                <c:pt idx="270" formatCode="General">
                  <c:v>0.05</c:v>
                </c:pt>
                <c:pt idx="271" formatCode="General">
                  <c:v>0.05</c:v>
                </c:pt>
                <c:pt idx="272" formatCode="General">
                  <c:v>0.05</c:v>
                </c:pt>
                <c:pt idx="273" formatCode="General">
                  <c:v>0.05</c:v>
                </c:pt>
                <c:pt idx="274" formatCode="General">
                  <c:v>0.05</c:v>
                </c:pt>
                <c:pt idx="275" formatCode="General">
                  <c:v>0.05</c:v>
                </c:pt>
                <c:pt idx="276" formatCode="General">
                  <c:v>0.05</c:v>
                </c:pt>
                <c:pt idx="277" formatCode="General">
                  <c:v>0.05</c:v>
                </c:pt>
                <c:pt idx="278" formatCode="General">
                  <c:v>0.05</c:v>
                </c:pt>
                <c:pt idx="279" formatCode="General">
                  <c:v>0.05</c:v>
                </c:pt>
                <c:pt idx="280" formatCode="General">
                  <c:v>0.05</c:v>
                </c:pt>
                <c:pt idx="281" formatCode="General">
                  <c:v>0.05</c:v>
                </c:pt>
                <c:pt idx="282" formatCode="General">
                  <c:v>0.05</c:v>
                </c:pt>
                <c:pt idx="283" formatCode="General">
                  <c:v>0.05</c:v>
                </c:pt>
                <c:pt idx="284" formatCode="General">
                  <c:v>0.05</c:v>
                </c:pt>
                <c:pt idx="285" formatCode="General">
                  <c:v>0.05</c:v>
                </c:pt>
                <c:pt idx="286" formatCode="General">
                  <c:v>0.05</c:v>
                </c:pt>
                <c:pt idx="287" formatCode="General">
                  <c:v>0.05</c:v>
                </c:pt>
                <c:pt idx="288" formatCode="General">
                  <c:v>0.05</c:v>
                </c:pt>
                <c:pt idx="289" formatCode="General">
                  <c:v>0.05</c:v>
                </c:pt>
                <c:pt idx="290" formatCode="General">
                  <c:v>0.05</c:v>
                </c:pt>
                <c:pt idx="291" formatCode="General">
                  <c:v>0.05</c:v>
                </c:pt>
                <c:pt idx="292" formatCode="General">
                  <c:v>0.05</c:v>
                </c:pt>
                <c:pt idx="293" formatCode="General">
                  <c:v>0.05</c:v>
                </c:pt>
                <c:pt idx="294" formatCode="General">
                  <c:v>0.05</c:v>
                </c:pt>
                <c:pt idx="295" formatCode="General">
                  <c:v>0.05</c:v>
                </c:pt>
                <c:pt idx="296" formatCode="General">
                  <c:v>0.05</c:v>
                </c:pt>
                <c:pt idx="297" formatCode="General">
                  <c:v>0.05</c:v>
                </c:pt>
                <c:pt idx="298" formatCode="General">
                  <c:v>0.05</c:v>
                </c:pt>
                <c:pt idx="299" formatCode="General">
                  <c:v>0.05</c:v>
                </c:pt>
                <c:pt idx="300" formatCode="General">
                  <c:v>0.05</c:v>
                </c:pt>
                <c:pt idx="301" formatCode="General">
                  <c:v>0.05</c:v>
                </c:pt>
                <c:pt idx="302" formatCode="General">
                  <c:v>0.05</c:v>
                </c:pt>
                <c:pt idx="303" formatCode="General">
                  <c:v>0.05</c:v>
                </c:pt>
                <c:pt idx="304" formatCode="General">
                  <c:v>0.05</c:v>
                </c:pt>
                <c:pt idx="305" formatCode="General">
                  <c:v>0.05</c:v>
                </c:pt>
                <c:pt idx="306" formatCode="General">
                  <c:v>0.05</c:v>
                </c:pt>
                <c:pt idx="307" formatCode="General">
                  <c:v>0.05</c:v>
                </c:pt>
                <c:pt idx="308" formatCode="General">
                  <c:v>0.05</c:v>
                </c:pt>
                <c:pt idx="309" formatCode="General">
                  <c:v>0.05</c:v>
                </c:pt>
                <c:pt idx="310" formatCode="General">
                  <c:v>0.05</c:v>
                </c:pt>
                <c:pt idx="311" formatCode="General">
                  <c:v>0.05</c:v>
                </c:pt>
                <c:pt idx="312" formatCode="General">
                  <c:v>0.05</c:v>
                </c:pt>
                <c:pt idx="313" formatCode="General">
                  <c:v>0.05</c:v>
                </c:pt>
                <c:pt idx="314" formatCode="General">
                  <c:v>0.05</c:v>
                </c:pt>
                <c:pt idx="315" formatCode="General">
                  <c:v>0.05</c:v>
                </c:pt>
                <c:pt idx="316" formatCode="General">
                  <c:v>0.05</c:v>
                </c:pt>
                <c:pt idx="317" formatCode="General">
                  <c:v>0.05</c:v>
                </c:pt>
                <c:pt idx="318" formatCode="General">
                  <c:v>0.05</c:v>
                </c:pt>
                <c:pt idx="319" formatCode="General">
                  <c:v>0.05</c:v>
                </c:pt>
                <c:pt idx="320" formatCode="General">
                  <c:v>0.05</c:v>
                </c:pt>
                <c:pt idx="321" formatCode="General">
                  <c:v>0.05</c:v>
                </c:pt>
                <c:pt idx="322" formatCode="General">
                  <c:v>0.05</c:v>
                </c:pt>
                <c:pt idx="323" formatCode="General">
                  <c:v>0.05</c:v>
                </c:pt>
                <c:pt idx="324" formatCode="General">
                  <c:v>0.05</c:v>
                </c:pt>
                <c:pt idx="325" formatCode="General">
                  <c:v>0.05</c:v>
                </c:pt>
                <c:pt idx="326" formatCode="General">
                  <c:v>0.05</c:v>
                </c:pt>
                <c:pt idx="327" formatCode="General">
                  <c:v>0.05</c:v>
                </c:pt>
                <c:pt idx="328" formatCode="General">
                  <c:v>0.05</c:v>
                </c:pt>
                <c:pt idx="329" formatCode="General">
                  <c:v>0.05</c:v>
                </c:pt>
                <c:pt idx="330" formatCode="General">
                  <c:v>0.05</c:v>
                </c:pt>
                <c:pt idx="331" formatCode="General">
                  <c:v>0.05</c:v>
                </c:pt>
                <c:pt idx="332" formatCode="0.0%">
                  <c:v>0.05</c:v>
                </c:pt>
                <c:pt idx="333" formatCode="0.0%">
                  <c:v>0.05</c:v>
                </c:pt>
                <c:pt idx="334" formatCode="0.0%">
                  <c:v>0.05</c:v>
                </c:pt>
                <c:pt idx="335" formatCode="0.0%">
                  <c:v>0.05</c:v>
                </c:pt>
                <c:pt idx="336" formatCode="0.0%">
                  <c:v>0.05</c:v>
                </c:pt>
                <c:pt idx="337" formatCode="0.0%">
                  <c:v>0.05</c:v>
                </c:pt>
                <c:pt idx="338" formatCode="0.0%">
                  <c:v>0.05</c:v>
                </c:pt>
                <c:pt idx="339" formatCode="0.0%">
                  <c:v>0.05</c:v>
                </c:pt>
                <c:pt idx="340" formatCode="0.0%">
                  <c:v>0.05</c:v>
                </c:pt>
                <c:pt idx="341" formatCode="0.0%">
                  <c:v>0.05</c:v>
                </c:pt>
                <c:pt idx="342" formatCode="0.0%">
                  <c:v>0.05</c:v>
                </c:pt>
                <c:pt idx="343" formatCode="0.0%">
                  <c:v>0.05</c:v>
                </c:pt>
                <c:pt idx="344" formatCode="0.0%">
                  <c:v>0.05</c:v>
                </c:pt>
                <c:pt idx="345" formatCode="0.0%">
                  <c:v>0.05</c:v>
                </c:pt>
                <c:pt idx="346" formatCode="0.0%">
                  <c:v>0.05</c:v>
                </c:pt>
                <c:pt idx="347" formatCode="0.0%">
                  <c:v>0.05</c:v>
                </c:pt>
                <c:pt idx="348" formatCode="0.0%">
                  <c:v>0.05</c:v>
                </c:pt>
                <c:pt idx="349" formatCode="0.0%">
                  <c:v>0.05</c:v>
                </c:pt>
                <c:pt idx="350" formatCode="0.0%">
                  <c:v>0.05</c:v>
                </c:pt>
                <c:pt idx="351" formatCode="0.0%">
                  <c:v>0.05</c:v>
                </c:pt>
                <c:pt idx="352" formatCode="0.0%">
                  <c:v>0.05</c:v>
                </c:pt>
                <c:pt idx="353" formatCode="0.0%">
                  <c:v>0.05</c:v>
                </c:pt>
                <c:pt idx="354" formatCode="0.0%">
                  <c:v>0.05</c:v>
                </c:pt>
                <c:pt idx="355" formatCode="0.0%">
                  <c:v>0.05</c:v>
                </c:pt>
                <c:pt idx="356" formatCode="0.0%">
                  <c:v>0.05</c:v>
                </c:pt>
                <c:pt idx="357" formatCode="0.0%">
                  <c:v>0.05</c:v>
                </c:pt>
                <c:pt idx="358" formatCode="0.0%">
                  <c:v>0.05</c:v>
                </c:pt>
                <c:pt idx="359" formatCode="0.0%">
                  <c:v>0.05</c:v>
                </c:pt>
                <c:pt idx="360" formatCode="0.0%">
                  <c:v>0.05</c:v>
                </c:pt>
                <c:pt idx="361" formatCode="0.0%">
                  <c:v>0.05</c:v>
                </c:pt>
                <c:pt idx="362" formatCode="0.0%">
                  <c:v>0.05</c:v>
                </c:pt>
                <c:pt idx="363" formatCode="0.0%">
                  <c:v>0.05</c:v>
                </c:pt>
                <c:pt idx="364" formatCode="0.0%">
                  <c:v>0.05</c:v>
                </c:pt>
                <c:pt idx="365" formatCode="0.0%">
                  <c:v>0.05</c:v>
                </c:pt>
                <c:pt idx="366" formatCode="0.0%">
                  <c:v>0.05</c:v>
                </c:pt>
                <c:pt idx="367" formatCode="0.0%">
                  <c:v>0.05</c:v>
                </c:pt>
                <c:pt idx="368" formatCode="0.0%">
                  <c:v>0.05</c:v>
                </c:pt>
                <c:pt idx="369" formatCode="0.0%">
                  <c:v>0.05</c:v>
                </c:pt>
                <c:pt idx="370" formatCode="0.0%">
                  <c:v>0.05</c:v>
                </c:pt>
                <c:pt idx="371" formatCode="0.0%">
                  <c:v>0.05</c:v>
                </c:pt>
                <c:pt idx="372" formatCode="0.0%">
                  <c:v>0.05</c:v>
                </c:pt>
                <c:pt idx="373" formatCode="0.0%">
                  <c:v>0.05</c:v>
                </c:pt>
                <c:pt idx="374" formatCode="0.0%">
                  <c:v>0.05</c:v>
                </c:pt>
                <c:pt idx="375" formatCode="0.0%">
                  <c:v>0.05</c:v>
                </c:pt>
                <c:pt idx="376" formatCode="0.0%">
                  <c:v>0.05</c:v>
                </c:pt>
                <c:pt idx="377" formatCode="0.0%">
                  <c:v>0.05</c:v>
                </c:pt>
                <c:pt idx="378" formatCode="0.0%">
                  <c:v>0.05</c:v>
                </c:pt>
                <c:pt idx="379" formatCode="0.0%">
                  <c:v>0.05</c:v>
                </c:pt>
                <c:pt idx="380" formatCode="0.0%">
                  <c:v>0.05</c:v>
                </c:pt>
                <c:pt idx="381" formatCode="0.0%">
                  <c:v>0.05</c:v>
                </c:pt>
                <c:pt idx="382" formatCode="0.0%">
                  <c:v>0.05</c:v>
                </c:pt>
                <c:pt idx="383" formatCode="0.0%">
                  <c:v>0.05</c:v>
                </c:pt>
                <c:pt idx="384" formatCode="0.0%">
                  <c:v>0.05</c:v>
                </c:pt>
                <c:pt idx="385" formatCode="0.0%">
                  <c:v>0.05</c:v>
                </c:pt>
                <c:pt idx="386" formatCode="0.0%">
                  <c:v>0.05</c:v>
                </c:pt>
                <c:pt idx="387" formatCode="0.0%">
                  <c:v>0.05</c:v>
                </c:pt>
                <c:pt idx="388" formatCode="0.0%">
                  <c:v>0.05</c:v>
                </c:pt>
                <c:pt idx="389" formatCode="0.0%">
                  <c:v>0.05</c:v>
                </c:pt>
                <c:pt idx="390" formatCode="0.0%">
                  <c:v>0.05</c:v>
                </c:pt>
                <c:pt idx="391" formatCode="0.0%">
                  <c:v>0.05</c:v>
                </c:pt>
                <c:pt idx="392" formatCode="0.0%">
                  <c:v>0.05</c:v>
                </c:pt>
                <c:pt idx="393" formatCode="0.0%">
                  <c:v>0.05</c:v>
                </c:pt>
                <c:pt idx="394" formatCode="0.0%">
                  <c:v>0.05</c:v>
                </c:pt>
                <c:pt idx="395" formatCode="0.0%">
                  <c:v>0.05</c:v>
                </c:pt>
                <c:pt idx="396" formatCode="0.0%">
                  <c:v>0.05</c:v>
                </c:pt>
                <c:pt idx="397" formatCode="0.0%">
                  <c:v>0.05</c:v>
                </c:pt>
                <c:pt idx="398" formatCode="0.0%">
                  <c:v>0.05</c:v>
                </c:pt>
                <c:pt idx="399" formatCode="0.0%">
                  <c:v>0.05</c:v>
                </c:pt>
                <c:pt idx="400" formatCode="0.0%">
                  <c:v>0.05</c:v>
                </c:pt>
                <c:pt idx="401" formatCode="0.0%">
                  <c:v>0.05</c:v>
                </c:pt>
                <c:pt idx="402" formatCode="0.0%">
                  <c:v>0.05</c:v>
                </c:pt>
                <c:pt idx="403" formatCode="0.0%">
                  <c:v>0.05</c:v>
                </c:pt>
                <c:pt idx="404" formatCode="0.0%">
                  <c:v>0.05</c:v>
                </c:pt>
                <c:pt idx="405" formatCode="0.0%">
                  <c:v>0.05</c:v>
                </c:pt>
                <c:pt idx="406" formatCode="0.0%">
                  <c:v>0.05</c:v>
                </c:pt>
                <c:pt idx="407" formatCode="0.0%">
                  <c:v>0.05</c:v>
                </c:pt>
                <c:pt idx="408" formatCode="0.0%">
                  <c:v>0.05</c:v>
                </c:pt>
                <c:pt idx="409" formatCode="0.0%">
                  <c:v>0.05</c:v>
                </c:pt>
                <c:pt idx="410" formatCode="0.0%">
                  <c:v>0.05</c:v>
                </c:pt>
                <c:pt idx="411" formatCode="0.0%">
                  <c:v>0.05</c:v>
                </c:pt>
                <c:pt idx="412" formatCode="0.0%">
                  <c:v>0.05</c:v>
                </c:pt>
                <c:pt idx="413" formatCode="0.0%">
                  <c:v>0.05</c:v>
                </c:pt>
                <c:pt idx="414" formatCode="0.0%">
                  <c:v>0.05</c:v>
                </c:pt>
                <c:pt idx="415" formatCode="0.0%">
                  <c:v>0.05</c:v>
                </c:pt>
                <c:pt idx="416" formatCode="0.0%">
                  <c:v>0.05</c:v>
                </c:pt>
                <c:pt idx="417" formatCode="0.0%">
                  <c:v>0.05</c:v>
                </c:pt>
                <c:pt idx="418" formatCode="0.0%">
                  <c:v>0.05</c:v>
                </c:pt>
                <c:pt idx="419" formatCode="0.0%">
                  <c:v>0.05</c:v>
                </c:pt>
                <c:pt idx="420" formatCode="0.0%">
                  <c:v>0.05</c:v>
                </c:pt>
                <c:pt idx="421" formatCode="0.0%">
                  <c:v>0.05</c:v>
                </c:pt>
                <c:pt idx="422" formatCode="0.0%">
                  <c:v>0.05</c:v>
                </c:pt>
                <c:pt idx="423" formatCode="0.0%">
                  <c:v>0.05</c:v>
                </c:pt>
                <c:pt idx="424" formatCode="0.0%">
                  <c:v>0.05</c:v>
                </c:pt>
                <c:pt idx="425" formatCode="0.0%">
                  <c:v>0.05</c:v>
                </c:pt>
                <c:pt idx="426" formatCode="0.0%">
                  <c:v>0.05</c:v>
                </c:pt>
                <c:pt idx="427" formatCode="0.0%">
                  <c:v>0.05</c:v>
                </c:pt>
                <c:pt idx="428" formatCode="0.0%">
                  <c:v>0.05</c:v>
                </c:pt>
                <c:pt idx="429" formatCode="0.0%">
                  <c:v>0.05</c:v>
                </c:pt>
                <c:pt idx="430" formatCode="0.0%">
                  <c:v>0.05</c:v>
                </c:pt>
                <c:pt idx="431" formatCode="0.0%">
                  <c:v>0.05</c:v>
                </c:pt>
                <c:pt idx="432" formatCode="0.0%">
                  <c:v>0.05</c:v>
                </c:pt>
                <c:pt idx="433" formatCode="0.0%">
                  <c:v>0.05</c:v>
                </c:pt>
                <c:pt idx="434" formatCode="0.0%">
                  <c:v>0.05</c:v>
                </c:pt>
                <c:pt idx="435" formatCode="0.0%">
                  <c:v>0.05</c:v>
                </c:pt>
                <c:pt idx="436" formatCode="0.0%">
                  <c:v>0.05</c:v>
                </c:pt>
                <c:pt idx="437" formatCode="0.0%">
                  <c:v>0.05</c:v>
                </c:pt>
                <c:pt idx="438" formatCode="0.0%">
                  <c:v>0.05</c:v>
                </c:pt>
                <c:pt idx="439" formatCode="0.0%">
                  <c:v>0.05</c:v>
                </c:pt>
                <c:pt idx="440" formatCode="0.0%">
                  <c:v>0.05</c:v>
                </c:pt>
                <c:pt idx="441" formatCode="0.0%">
                  <c:v>0.05</c:v>
                </c:pt>
                <c:pt idx="442" formatCode="0.0%">
                  <c:v>0.05</c:v>
                </c:pt>
                <c:pt idx="443" formatCode="0.0%">
                  <c:v>0.05</c:v>
                </c:pt>
                <c:pt idx="444" formatCode="0.0%">
                  <c:v>0.05</c:v>
                </c:pt>
                <c:pt idx="445" formatCode="0.0%">
                  <c:v>0.05</c:v>
                </c:pt>
                <c:pt idx="446" formatCode="0.0%">
                  <c:v>0.05</c:v>
                </c:pt>
                <c:pt idx="447" formatCode="0.0%">
                  <c:v>0.05</c:v>
                </c:pt>
                <c:pt idx="448" formatCode="0.0%">
                  <c:v>0.05</c:v>
                </c:pt>
                <c:pt idx="449" formatCode="0.0%">
                  <c:v>0.05</c:v>
                </c:pt>
                <c:pt idx="450" formatCode="0.0%">
                  <c:v>0.05</c:v>
                </c:pt>
                <c:pt idx="451" formatCode="0.0%">
                  <c:v>0.05</c:v>
                </c:pt>
                <c:pt idx="452" formatCode="0.0%">
                  <c:v>0.05</c:v>
                </c:pt>
                <c:pt idx="453" formatCode="0.0%">
                  <c:v>0.05</c:v>
                </c:pt>
                <c:pt idx="454" formatCode="0.0%">
                  <c:v>0.05</c:v>
                </c:pt>
                <c:pt idx="455" formatCode="0.0%">
                  <c:v>0.05</c:v>
                </c:pt>
                <c:pt idx="456" formatCode="0.0%">
                  <c:v>0.05</c:v>
                </c:pt>
                <c:pt idx="457" formatCode="0.0%">
                  <c:v>0.05</c:v>
                </c:pt>
                <c:pt idx="458" formatCode="0.0%">
                  <c:v>0.05</c:v>
                </c:pt>
                <c:pt idx="459" formatCode="0.0%">
                  <c:v>0.05</c:v>
                </c:pt>
                <c:pt idx="460" formatCode="0.0%">
                  <c:v>0.05</c:v>
                </c:pt>
                <c:pt idx="461" formatCode="0.0%">
                  <c:v>0.05</c:v>
                </c:pt>
                <c:pt idx="462" formatCode="0.0%">
                  <c:v>0.05</c:v>
                </c:pt>
                <c:pt idx="463" formatCode="0.0%">
                  <c:v>0.05</c:v>
                </c:pt>
                <c:pt idx="464" formatCode="0.0%">
                  <c:v>0.05</c:v>
                </c:pt>
                <c:pt idx="465" formatCode="0.0%">
                  <c:v>0.05</c:v>
                </c:pt>
                <c:pt idx="466" formatCode="0.0%">
                  <c:v>0.05</c:v>
                </c:pt>
                <c:pt idx="467" formatCode="0.0%">
                  <c:v>0.05</c:v>
                </c:pt>
                <c:pt idx="468" formatCode="0.0%">
                  <c:v>0.05</c:v>
                </c:pt>
                <c:pt idx="469" formatCode="0.0%">
                  <c:v>0.05</c:v>
                </c:pt>
                <c:pt idx="470" formatCode="0.0%">
                  <c:v>0.05</c:v>
                </c:pt>
                <c:pt idx="471" formatCode="0.0%">
                  <c:v>0.05</c:v>
                </c:pt>
                <c:pt idx="472" formatCode="0.0%">
                  <c:v>0.05</c:v>
                </c:pt>
                <c:pt idx="473" formatCode="0.0%">
                  <c:v>0.05</c:v>
                </c:pt>
                <c:pt idx="474" formatCode="0.0%">
                  <c:v>0.05</c:v>
                </c:pt>
                <c:pt idx="475" formatCode="0.0%">
                  <c:v>0.05</c:v>
                </c:pt>
                <c:pt idx="476" formatCode="0.0%">
                  <c:v>0.05</c:v>
                </c:pt>
                <c:pt idx="477" formatCode="0.0%">
                  <c:v>0.05</c:v>
                </c:pt>
                <c:pt idx="478" formatCode="0.0%">
                  <c:v>0.05</c:v>
                </c:pt>
                <c:pt idx="479" formatCode="0.0%">
                  <c:v>0.05</c:v>
                </c:pt>
                <c:pt idx="480" formatCode="0.0%">
                  <c:v>0.05</c:v>
                </c:pt>
                <c:pt idx="481" formatCode="0.0%">
                  <c:v>0.05</c:v>
                </c:pt>
                <c:pt idx="482" formatCode="0.0%">
                  <c:v>0.05</c:v>
                </c:pt>
                <c:pt idx="483" formatCode="0.0%">
                  <c:v>0.05</c:v>
                </c:pt>
                <c:pt idx="484" formatCode="0.0%">
                  <c:v>0.05</c:v>
                </c:pt>
                <c:pt idx="485" formatCode="0.0%">
                  <c:v>0.05</c:v>
                </c:pt>
                <c:pt idx="486" formatCode="0.0%">
                  <c:v>0.05</c:v>
                </c:pt>
                <c:pt idx="487" formatCode="0.0%">
                  <c:v>0.05</c:v>
                </c:pt>
                <c:pt idx="488" formatCode="0.0%">
                  <c:v>0.05</c:v>
                </c:pt>
                <c:pt idx="489" formatCode="0.0%">
                  <c:v>0.05</c:v>
                </c:pt>
                <c:pt idx="490" formatCode="0.0%">
                  <c:v>0.05</c:v>
                </c:pt>
                <c:pt idx="491" formatCode="0.0%">
                  <c:v>0.05</c:v>
                </c:pt>
                <c:pt idx="492" formatCode="0.0%">
                  <c:v>0.05</c:v>
                </c:pt>
                <c:pt idx="493" formatCode="0.0%">
                  <c:v>0.05</c:v>
                </c:pt>
                <c:pt idx="494" formatCode="0.0%">
                  <c:v>0.05</c:v>
                </c:pt>
                <c:pt idx="495" formatCode="0.0%">
                  <c:v>0.05</c:v>
                </c:pt>
                <c:pt idx="496" formatCode="0.0%">
                  <c:v>0.05</c:v>
                </c:pt>
                <c:pt idx="497" formatCode="0.0%">
                  <c:v>0.05</c:v>
                </c:pt>
                <c:pt idx="498" formatCode="0.0%">
                  <c:v>0.05</c:v>
                </c:pt>
                <c:pt idx="499" formatCode="0.0%">
                  <c:v>0.05</c:v>
                </c:pt>
                <c:pt idx="500" formatCode="0.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A7-4DF5-8F3D-D1A4496332F8}"/>
            </c:ext>
          </c:extLst>
        </c:ser>
        <c:ser>
          <c:idx val="2"/>
          <c:order val="1"/>
          <c:tx>
            <c:strRef>
              <c:f>NSS!$CP$2</c:f>
              <c:strCache>
                <c:ptCount val="1"/>
                <c:pt idx="0">
                  <c:v>Time decay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NSS!$CN$3:$CN$503</c:f>
              <c:numCache>
                <c:formatCode>General</c:formatCode>
                <c:ptCount val="501"/>
                <c:pt idx="0" formatCode="0">
                  <c:v>9.9999999999999995E-7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 formatCode="0.0">
                  <c:v>32</c:v>
                </c:pt>
                <c:pt idx="65" formatCode="0.0">
                  <c:v>32.5</c:v>
                </c:pt>
                <c:pt idx="66" formatCode="0.0">
                  <c:v>33</c:v>
                </c:pt>
                <c:pt idx="67" formatCode="0.0">
                  <c:v>33.5</c:v>
                </c:pt>
                <c:pt idx="68" formatCode="0.0">
                  <c:v>34</c:v>
                </c:pt>
                <c:pt idx="69" formatCode="0.0">
                  <c:v>34.5</c:v>
                </c:pt>
                <c:pt idx="70" formatCode="0.0">
                  <c:v>35</c:v>
                </c:pt>
                <c:pt idx="71" formatCode="0.0">
                  <c:v>35.5</c:v>
                </c:pt>
                <c:pt idx="72" formatCode="0.0">
                  <c:v>36</c:v>
                </c:pt>
                <c:pt idx="73" formatCode="0.0">
                  <c:v>36.5</c:v>
                </c:pt>
                <c:pt idx="74" formatCode="0.0">
                  <c:v>37</c:v>
                </c:pt>
                <c:pt idx="75" formatCode="0.0">
                  <c:v>37.5</c:v>
                </c:pt>
                <c:pt idx="76" formatCode="0.0">
                  <c:v>38</c:v>
                </c:pt>
                <c:pt idx="77" formatCode="0.0">
                  <c:v>38.5</c:v>
                </c:pt>
                <c:pt idx="78" formatCode="0.0">
                  <c:v>39</c:v>
                </c:pt>
                <c:pt idx="79" formatCode="0.0">
                  <c:v>39.5</c:v>
                </c:pt>
                <c:pt idx="80" formatCode="0.0">
                  <c:v>40</c:v>
                </c:pt>
                <c:pt idx="81" formatCode="0.0">
                  <c:v>40.5</c:v>
                </c:pt>
                <c:pt idx="82" formatCode="0.0">
                  <c:v>41</c:v>
                </c:pt>
                <c:pt idx="83" formatCode="0.0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</c:numCache>
            </c:numRef>
          </c:cat>
          <c:val>
            <c:numRef>
              <c:f>NSS!$CP$3:$CP$503</c:f>
              <c:numCache>
                <c:formatCode>0.00%</c:formatCode>
                <c:ptCount val="501"/>
                <c:pt idx="0">
                  <c:v>-2.1912016713116267E-2</c:v>
                </c:pt>
                <c:pt idx="1">
                  <c:v>-2.1606522310573962E-2</c:v>
                </c:pt>
                <c:pt idx="2">
                  <c:v>-2.1306692952680933E-2</c:v>
                </c:pt>
                <c:pt idx="3">
                  <c:v>-2.1012411156927521E-2</c:v>
                </c:pt>
                <c:pt idx="4">
                  <c:v>-2.0723561449710215E-2</c:v>
                </c:pt>
                <c:pt idx="5">
                  <c:v>-2.0440030921271765E-2</c:v>
                </c:pt>
                <c:pt idx="6">
                  <c:v>-2.0161709166404588E-2</c:v>
                </c:pt>
                <c:pt idx="7">
                  <c:v>-1.9888488226564704E-2</c:v>
                </c:pt>
                <c:pt idx="8">
                  <c:v>-1.9620262533362142E-2</c:v>
                </c:pt>
                <c:pt idx="9">
                  <c:v>-1.9356928853394031E-2</c:v>
                </c:pt>
                <c:pt idx="10">
                  <c:v>-1.9098386234388299E-2</c:v>
                </c:pt>
                <c:pt idx="11">
                  <c:v>-1.8844535952625724E-2</c:v>
                </c:pt>
                <c:pt idx="12">
                  <c:v>-1.859528146160969E-2</c:v>
                </c:pt>
                <c:pt idx="13">
                  <c:v>-1.8350528341953182E-2</c:v>
                </c:pt>
                <c:pt idx="14">
                  <c:v>-1.8110184252453646E-2</c:v>
                </c:pt>
                <c:pt idx="15">
                  <c:v>-1.7874158882326921E-2</c:v>
                </c:pt>
                <c:pt idx="16">
                  <c:v>-1.7642363904572168E-2</c:v>
                </c:pt>
                <c:pt idx="17">
                  <c:v>-1.741471293044046E-2</c:v>
                </c:pt>
                <c:pt idx="18">
                  <c:v>-1.7191121464980308E-2</c:v>
                </c:pt>
                <c:pt idx="19">
                  <c:v>-1.6971506863634106E-2</c:v>
                </c:pt>
                <c:pt idx="20">
                  <c:v>-1.6755788289860112E-2</c:v>
                </c:pt>
                <c:pt idx="21">
                  <c:v>-1.6543886673755129E-2</c:v>
                </c:pt>
                <c:pt idx="22">
                  <c:v>-1.6335724671653822E-2</c:v>
                </c:pt>
                <c:pt idx="23">
                  <c:v>-1.6131226626681004E-2</c:v>
                </c:pt>
                <c:pt idx="24">
                  <c:v>-1.5930318530233953E-2</c:v>
                </c:pt>
                <c:pt idx="25">
                  <c:v>-1.5732927984372324E-2</c:v>
                </c:pt>
                <c:pt idx="26">
                  <c:v>-1.553898416509376E-2</c:v>
                </c:pt>
                <c:pt idx="27">
                  <c:v>-1.5348417786473879E-2</c:v>
                </c:pt>
                <c:pt idx="28">
                  <c:v>-1.5161161065649822E-2</c:v>
                </c:pt>
                <c:pt idx="29">
                  <c:v>-1.4977147688627021E-2</c:v>
                </c:pt>
                <c:pt idx="30">
                  <c:v>-1.4796312776889446E-2</c:v>
                </c:pt>
                <c:pt idx="31">
                  <c:v>-1.4618592854793904E-2</c:v>
                </c:pt>
                <c:pt idx="32">
                  <c:v>-1.4443925817729644E-2</c:v>
                </c:pt>
                <c:pt idx="33">
                  <c:v>-1.4272250901024793E-2</c:v>
                </c:pt>
                <c:pt idx="34">
                  <c:v>-1.4103508649581759E-2</c:v>
                </c:pt>
                <c:pt idx="35">
                  <c:v>-1.3937640888224001E-2</c:v>
                </c:pt>
                <c:pt idx="36">
                  <c:v>-1.3774590692737206E-2</c:v>
                </c:pt>
                <c:pt idx="37">
                  <c:v>-1.3614302361588131E-2</c:v>
                </c:pt>
                <c:pt idx="38">
                  <c:v>-1.3456721388304879E-2</c:v>
                </c:pt>
                <c:pt idx="39">
                  <c:v>-1.3301794434502801E-2</c:v>
                </c:pt>
                <c:pt idx="40">
                  <c:v>-1.3149469303540473E-2</c:v>
                </c:pt>
                <c:pt idx="41">
                  <c:v>-1.2999694914790768E-2</c:v>
                </c:pt>
                <c:pt idx="42">
                  <c:v>-1.2852421278512187E-2</c:v>
                </c:pt>
                <c:pt idx="43">
                  <c:v>-1.2707599471306182E-2</c:v>
                </c:pt>
                <c:pt idx="44">
                  <c:v>-1.2565181612146413E-2</c:v>
                </c:pt>
                <c:pt idx="45">
                  <c:v>-1.2425120838966262E-2</c:v>
                </c:pt>
                <c:pt idx="46">
                  <c:v>-1.2287371285791313E-2</c:v>
                </c:pt>
                <c:pt idx="47">
                  <c:v>-1.2151888060403723E-2</c:v>
                </c:pt>
                <c:pt idx="48">
                  <c:v>-1.2018627222525854E-2</c:v>
                </c:pt>
                <c:pt idx="49">
                  <c:v>-1.1887545762510715E-2</c:v>
                </c:pt>
                <c:pt idx="50">
                  <c:v>-1.1758601580527189E-2</c:v>
                </c:pt>
                <c:pt idx="51">
                  <c:v>-1.1631753466228198E-2</c:v>
                </c:pt>
                <c:pt idx="52">
                  <c:v>-1.1506961078890361E-2</c:v>
                </c:pt>
                <c:pt idx="53">
                  <c:v>-1.1384184928013859E-2</c:v>
                </c:pt>
                <c:pt idx="54">
                  <c:v>-1.1263386354371595E-2</c:v>
                </c:pt>
                <c:pt idx="55">
                  <c:v>-1.1144527511496945E-2</c:v>
                </c:pt>
                <c:pt idx="56">
                  <c:v>-1.102757134759968E-2</c:v>
                </c:pt>
                <c:pt idx="57">
                  <c:v>-1.0912481587899888E-2</c:v>
                </c:pt>
                <c:pt idx="58">
                  <c:v>-1.0799222717369949E-2</c:v>
                </c:pt>
                <c:pt idx="59">
                  <c:v>-1.0687759963874888E-2</c:v>
                </c:pt>
                <c:pt idx="60">
                  <c:v>-1.0578059281701677E-2</c:v>
                </c:pt>
                <c:pt idx="61">
                  <c:v>-1.0470087335468213E-2</c:v>
                </c:pt>
                <c:pt idx="62">
                  <c:v>-1.0363811484403013E-2</c:v>
                </c:pt>
                <c:pt idx="63">
                  <c:v>-1.0259199766986816E-2</c:v>
                </c:pt>
                <c:pt idx="64" formatCode="0.00">
                  <c:v>-1.0156220885947554E-2</c:v>
                </c:pt>
                <c:pt idx="65" formatCode="0.00">
                  <c:v>-1.0054844193600301E-2</c:v>
                </c:pt>
                <c:pt idx="66" formatCode="0.00">
                  <c:v>-9.9550396775240409E-3</c:v>
                </c:pt>
                <c:pt idx="67" formatCode="0.00">
                  <c:v>-9.856777946567306E-3</c:v>
                </c:pt>
                <c:pt idx="68" formatCode="0.00">
                  <c:v>-9.7600302171749181E-3</c:v>
                </c:pt>
                <c:pt idx="69" formatCode="0.00">
                  <c:v>-9.6647683000282113E-3</c:v>
                </c:pt>
                <c:pt idx="70" formatCode="0.00">
                  <c:v>-9.5709645869913977E-3</c:v>
                </c:pt>
                <c:pt idx="71" formatCode="0.00">
                  <c:v>-9.478592038356777E-3</c:v>
                </c:pt>
                <c:pt idx="72" formatCode="0.00">
                  <c:v>-9.3876241703818378E-3</c:v>
                </c:pt>
                <c:pt idx="73" formatCode="0.00">
                  <c:v>-9.2980350431112607E-3</c:v>
                </c:pt>
                <c:pt idx="74" formatCode="0.00">
                  <c:v>-9.2097992484772191E-3</c:v>
                </c:pt>
                <c:pt idx="75" formatCode="0.00">
                  <c:v>-9.1228918986713467E-3</c:v>
                </c:pt>
                <c:pt idx="76" formatCode="0.00">
                  <c:v>-9.0372886147820249E-3</c:v>
                </c:pt>
                <c:pt idx="77" formatCode="0.00">
                  <c:v>-8.9529655156907247E-3</c:v>
                </c:pt>
                <c:pt idx="78" formatCode="0.00">
                  <c:v>-8.8698992072213326E-3</c:v>
                </c:pt>
                <c:pt idx="79" formatCode="0.00">
                  <c:v>-8.7880667715365124E-3</c:v>
                </c:pt>
                <c:pt idx="80" formatCode="0.00">
                  <c:v>-8.707445756775286E-3</c:v>
                </c:pt>
                <c:pt idx="81" formatCode="0.00">
                  <c:v>-8.6280141669262053E-3</c:v>
                </c:pt>
                <c:pt idx="82" formatCode="0.00">
                  <c:v>-8.5497504519305642E-3</c:v>
                </c:pt>
                <c:pt idx="83" formatCode="0.00">
                  <c:v>-8.4726334980102565E-3</c:v>
                </c:pt>
                <c:pt idx="84" formatCode="0.00">
                  <c:v>-8.3966426182150548E-3</c:v>
                </c:pt>
                <c:pt idx="85" formatCode="0.00">
                  <c:v>-8.3217575431841113E-3</c:v>
                </c:pt>
                <c:pt idx="86" formatCode="0.00">
                  <c:v>-8.2479584121167345E-3</c:v>
                </c:pt>
                <c:pt idx="87" formatCode="0.00">
                  <c:v>-8.1752257639474933E-3</c:v>
                </c:pt>
                <c:pt idx="88" formatCode="0.00">
                  <c:v>-8.1035405287209067E-3</c:v>
                </c:pt>
                <c:pt idx="89" formatCode="0.00">
                  <c:v>-8.0328840191610327E-3</c:v>
                </c:pt>
                <c:pt idx="90" formatCode="0.00">
                  <c:v>-7.9632379224314452E-3</c:v>
                </c:pt>
                <c:pt idx="91" formatCode="0.00">
                  <c:v>-7.8945842920811003E-3</c:v>
                </c:pt>
                <c:pt idx="92" formatCode="0.00">
                  <c:v>-7.8269055401718069E-3</c:v>
                </c:pt>
                <c:pt idx="93" formatCode="0.00">
                  <c:v>-7.7601844295830426E-3</c:v>
                </c:pt>
                <c:pt idx="94" formatCode="0.00">
                  <c:v>-7.6944040664899968E-3</c:v>
                </c:pt>
                <c:pt idx="95" formatCode="0.00">
                  <c:v>-7.6295478930107942E-3</c:v>
                </c:pt>
                <c:pt idx="96" formatCode="0.00">
                  <c:v>-7.5655996800189935E-3</c:v>
                </c:pt>
                <c:pt idx="97" formatCode="0.00">
                  <c:v>-7.5025435201174686E-3</c:v>
                </c:pt>
                <c:pt idx="98" formatCode="0.00">
                  <c:v>-7.4403638207699791E-3</c:v>
                </c:pt>
                <c:pt idx="99" formatCode="0.00">
                  <c:v>-7.3790452975867234E-3</c:v>
                </c:pt>
                <c:pt idx="100" formatCode="0.00">
                  <c:v>-7.3185729677603291E-3</c:v>
                </c:pt>
                <c:pt idx="101" formatCode="0.00">
                  <c:v>-7.2589321436487744E-3</c:v>
                </c:pt>
                <c:pt idx="102" formatCode="0.00">
                  <c:v>-7.2001084265018445E-3</c:v>
                </c:pt>
                <c:pt idx="103" formatCode="0.00">
                  <c:v>-7.1420877003277958E-3</c:v>
                </c:pt>
                <c:pt idx="104" formatCode="0.00">
                  <c:v>-7.0848561258969791E-3</c:v>
                </c:pt>
                <c:pt idx="105" formatCode="0.00">
                  <c:v>-7.0284001348792577E-3</c:v>
                </c:pt>
                <c:pt idx="106" formatCode="0.00">
                  <c:v>-6.9727064241121225E-3</c:v>
                </c:pt>
                <c:pt idx="107" formatCode="0.00">
                  <c:v>-6.9177619499964874E-3</c:v>
                </c:pt>
                <c:pt idx="108" formatCode="0.00">
                  <c:v>-6.8635539230172144E-3</c:v>
                </c:pt>
                <c:pt idx="109" formatCode="0.00">
                  <c:v>-6.8100698023854898E-3</c:v>
                </c:pt>
                <c:pt idx="110" formatCode="0.00">
                  <c:v>-6.7572972908002456E-3</c:v>
                </c:pt>
                <c:pt idx="111" formatCode="0.00">
                  <c:v>-6.7052243293258748E-3</c:v>
                </c:pt>
                <c:pt idx="112" formatCode="0.00">
                  <c:v>-6.6538390923835686E-3</c:v>
                </c:pt>
                <c:pt idx="113" formatCode="0.00">
                  <c:v>-6.6031299828536553E-3</c:v>
                </c:pt>
                <c:pt idx="114" formatCode="0.00">
                  <c:v>-6.553085627286394E-3</c:v>
                </c:pt>
                <c:pt idx="115" formatCode="0.00">
                  <c:v>-6.5036948712187161E-3</c:v>
                </c:pt>
                <c:pt idx="116" formatCode="0.00">
                  <c:v>-6.4549467745945036E-3</c:v>
                </c:pt>
                <c:pt idx="117" formatCode="0.00">
                  <c:v>-6.4068306072859963E-3</c:v>
                </c:pt>
                <c:pt idx="118" formatCode="0.00">
                  <c:v>-6.3593358447140433E-3</c:v>
                </c:pt>
                <c:pt idx="119" formatCode="0.00">
                  <c:v>-6.3124521635648991E-3</c:v>
                </c:pt>
                <c:pt idx="120" formatCode="0.00">
                  <c:v>-6.2661694376013738E-3</c:v>
                </c:pt>
                <c:pt idx="121" formatCode="0.00">
                  <c:v>-6.2204777335661656E-3</c:v>
                </c:pt>
                <c:pt idx="122" formatCode="0.00">
                  <c:v>-6.1753673071752785E-3</c:v>
                </c:pt>
                <c:pt idx="123" formatCode="0.00">
                  <c:v>-6.1308285991994527E-3</c:v>
                </c:pt>
                <c:pt idx="124" formatCode="0.00">
                  <c:v>-6.0868522316315926E-3</c:v>
                </c:pt>
                <c:pt idx="125" formatCode="0.00">
                  <c:v>-6.0434290039382572E-3</c:v>
                </c:pt>
                <c:pt idx="126" formatCode="0.00">
                  <c:v>-6.0005498893932517E-3</c:v>
                </c:pt>
                <c:pt idx="127" formatCode="0.00">
                  <c:v>-5.9582060314914932E-3</c:v>
                </c:pt>
                <c:pt idx="128" formatCode="0.00">
                  <c:v>-5.9163887404412741E-3</c:v>
                </c:pt>
                <c:pt idx="129" formatCode="0.00">
                  <c:v>-5.8750894897331915E-3</c:v>
                </c:pt>
                <c:pt idx="130" formatCode="0.00">
                  <c:v>-5.8342999127839398E-3</c:v>
                </c:pt>
                <c:pt idx="131" formatCode="0.00">
                  <c:v>-5.7940117996533175E-3</c:v>
                </c:pt>
                <c:pt idx="132" formatCode="0.00">
                  <c:v>-5.7542170938327418E-3</c:v>
                </c:pt>
                <c:pt idx="133" formatCode="0.00">
                  <c:v>-5.7149078891036795E-3</c:v>
                </c:pt>
                <c:pt idx="134" formatCode="0.00">
                  <c:v>-5.676076426464385E-3</c:v>
                </c:pt>
                <c:pt idx="135" formatCode="0.00">
                  <c:v>-5.637715091123408E-3</c:v>
                </c:pt>
                <c:pt idx="136" formatCode="0.00">
                  <c:v>-5.5998164095583496E-3</c:v>
                </c:pt>
                <c:pt idx="137" formatCode="0.00">
                  <c:v>-5.5623730466384117E-3</c:v>
                </c:pt>
                <c:pt idx="138" formatCode="0.00">
                  <c:v>-5.5253778028092537E-3</c:v>
                </c:pt>
                <c:pt idx="139" formatCode="0.00">
                  <c:v>-5.4888236113387993E-3</c:v>
                </c:pt>
                <c:pt idx="140" formatCode="0.00">
                  <c:v>-5.4527035356225634E-3</c:v>
                </c:pt>
                <c:pt idx="141" formatCode="0.00">
                  <c:v>-5.417010766547211E-3</c:v>
                </c:pt>
                <c:pt idx="142" formatCode="0.00">
                  <c:v>-5.3817386199109798E-3</c:v>
                </c:pt>
                <c:pt idx="143" formatCode="0.00">
                  <c:v>-5.3468805338997257E-3</c:v>
                </c:pt>
                <c:pt idx="144" formatCode="0.00">
                  <c:v>-5.3124300666173175E-3</c:v>
                </c:pt>
                <c:pt idx="145" formatCode="0.00">
                  <c:v>-5.2783808936691578E-3</c:v>
                </c:pt>
                <c:pt idx="146" formatCode="0.00">
                  <c:v>-5.2447268057976533E-3</c:v>
                </c:pt>
                <c:pt idx="147" formatCode="0.00">
                  <c:v>-5.2114617065684363E-3</c:v>
                </c:pt>
                <c:pt idx="148" formatCode="0.00">
                  <c:v>-5.1785796101062277E-3</c:v>
                </c:pt>
                <c:pt idx="149" formatCode="0.00">
                  <c:v>-5.1460746388792078E-3</c:v>
                </c:pt>
                <c:pt idx="150" formatCode="0.00">
                  <c:v>-5.113941021530813E-3</c:v>
                </c:pt>
                <c:pt idx="151" formatCode="0.00">
                  <c:v>-5.0821730907579018E-3</c:v>
                </c:pt>
                <c:pt idx="152" formatCode="0.00">
                  <c:v>-5.0507652812342395E-3</c:v>
                </c:pt>
                <c:pt idx="153" formatCode="0.00">
                  <c:v>-5.0197121275782994E-3</c:v>
                </c:pt>
                <c:pt idx="154" formatCode="0.00">
                  <c:v>-4.9890082623643816E-3</c:v>
                </c:pt>
                <c:pt idx="155" formatCode="0.00">
                  <c:v>-4.9586484141760897E-3</c:v>
                </c:pt>
                <c:pt idx="156" formatCode="0.00">
                  <c:v>-4.9286274057012049E-3</c:v>
                </c:pt>
                <c:pt idx="157" formatCode="0.00">
                  <c:v>-4.8989401518670607E-3</c:v>
                </c:pt>
                <c:pt idx="158" formatCode="0.00">
                  <c:v>-4.8695816580154793E-3</c:v>
                </c:pt>
                <c:pt idx="159" formatCode="0.00">
                  <c:v>-4.84054701811643E-3</c:v>
                </c:pt>
                <c:pt idx="160" formatCode="0.00">
                  <c:v>-4.81183141301951E-3</c:v>
                </c:pt>
                <c:pt idx="161" formatCode="0.00">
                  <c:v>-4.7834301087424326E-3</c:v>
                </c:pt>
                <c:pt idx="162" formatCode="0.00">
                  <c:v>-4.7553384547956877E-3</c:v>
                </c:pt>
                <c:pt idx="163" formatCode="0.00">
                  <c:v>-4.7275518825425824E-3</c:v>
                </c:pt>
                <c:pt idx="164" formatCode="0.00">
                  <c:v>-4.7000659035938575E-3</c:v>
                </c:pt>
                <c:pt idx="165" formatCode="0.00">
                  <c:v>-4.6728761082361434E-3</c:v>
                </c:pt>
                <c:pt idx="166" formatCode="0.00">
                  <c:v>-4.6459781638934754E-3</c:v>
                </c:pt>
                <c:pt idx="167" formatCode="0.00">
                  <c:v>-4.6193678136211549E-3</c:v>
                </c:pt>
                <c:pt idx="168" formatCode="0.00">
                  <c:v>-4.5930408746312481E-3</c:v>
                </c:pt>
                <c:pt idx="169" formatCode="0.00">
                  <c:v>-4.5669932368489954E-3</c:v>
                </c:pt>
                <c:pt idx="170" formatCode="0.00">
                  <c:v>-4.5412208614994754E-3</c:v>
                </c:pt>
                <c:pt idx="171" formatCode="0.00">
                  <c:v>-4.5157197797238572E-3</c:v>
                </c:pt>
                <c:pt idx="172" formatCode="0.00">
                  <c:v>-4.4904860912245619E-3</c:v>
                </c:pt>
                <c:pt idx="173" formatCode="0.00">
                  <c:v>-4.465515962938732E-3</c:v>
                </c:pt>
                <c:pt idx="174" formatCode="0.00">
                  <c:v>-4.4408056277393535E-3</c:v>
                </c:pt>
                <c:pt idx="175" formatCode="0.00">
                  <c:v>-4.4163513831634521E-3</c:v>
                </c:pt>
                <c:pt idx="176" formatCode="0.00">
                  <c:v>-4.3921495901667502E-3</c:v>
                </c:pt>
                <c:pt idx="177" formatCode="0.00">
                  <c:v>-4.3681966719042072E-3</c:v>
                </c:pt>
                <c:pt idx="178" formatCode="0.00">
                  <c:v>-4.3444891125358851E-3</c:v>
                </c:pt>
                <c:pt idx="179" formatCode="0.00">
                  <c:v>-4.3210234560575704E-3</c:v>
                </c:pt>
                <c:pt idx="180" formatCode="0.00">
                  <c:v>-4.2977963051556243E-3</c:v>
                </c:pt>
                <c:pt idx="181" formatCode="0.00">
                  <c:v>-4.2748043200855207E-3</c:v>
                </c:pt>
                <c:pt idx="182" formatCode="0.00">
                  <c:v>-4.2520442175735702E-3</c:v>
                </c:pt>
                <c:pt idx="183" formatCode="0.00">
                  <c:v>-4.2295127697412945E-3</c:v>
                </c:pt>
                <c:pt idx="184" formatCode="0.00">
                  <c:v>-4.207206803051998E-3</c:v>
                </c:pt>
                <c:pt idx="185" formatCode="0.00">
                  <c:v>-4.1851231972790176E-3</c:v>
                </c:pt>
                <c:pt idx="186" formatCode="0.00">
                  <c:v>-4.1632588844951971E-3</c:v>
                </c:pt>
                <c:pt idx="187" formatCode="0.00">
                  <c:v>-4.1416108480831172E-3</c:v>
                </c:pt>
                <c:pt idx="188" formatCode="0.00">
                  <c:v>-4.120176121765645E-3</c:v>
                </c:pt>
                <c:pt idx="189" formatCode="0.00">
                  <c:v>-4.0989517886563355E-3</c:v>
                </c:pt>
                <c:pt idx="190" formatCode="0.00">
                  <c:v>-4.0779349803292788E-3</c:v>
                </c:pt>
                <c:pt idx="191" formatCode="0.00">
                  <c:v>-4.0571228759079614E-3</c:v>
                </c:pt>
                <c:pt idx="192" formatCode="0.00">
                  <c:v>-4.0365127011727318E-3</c:v>
                </c:pt>
                <c:pt idx="193" formatCode="0.00">
                  <c:v>-4.0161017276864651E-3</c:v>
                </c:pt>
                <c:pt idx="194" formatCode="0.00">
                  <c:v>-3.9958872719380372E-3</c:v>
                </c:pt>
                <c:pt idx="195" formatCode="0.00">
                  <c:v>-3.9758666945032264E-3</c:v>
                </c:pt>
                <c:pt idx="196" formatCode="0.00">
                  <c:v>-3.9560373992226575E-3</c:v>
                </c:pt>
                <c:pt idx="197" formatCode="0.00">
                  <c:v>-3.9363968323964322E-3</c:v>
                </c:pt>
                <c:pt idx="198" formatCode="0.00">
                  <c:v>-3.9169424819950824E-3</c:v>
                </c:pt>
                <c:pt idx="199" formatCode="0.00">
                  <c:v>-3.8976718768864854E-3</c:v>
                </c:pt>
                <c:pt idx="200" formatCode="0.00">
                  <c:v>-3.8785825860784186E-3</c:v>
                </c:pt>
                <c:pt idx="201" formatCode="0.00">
                  <c:v>-3.8596722179764032E-3</c:v>
                </c:pt>
                <c:pt idx="202" formatCode="0.00">
                  <c:v>-3.8409384196565091E-3</c:v>
                </c:pt>
                <c:pt idx="203" formatCode="0.00">
                  <c:v>-3.822378876152807E-3</c:v>
                </c:pt>
                <c:pt idx="204" formatCode="0.00">
                  <c:v>-3.803991309759155E-3</c:v>
                </c:pt>
                <c:pt idx="205" formatCode="0.00">
                  <c:v>-3.7857734793450026E-3</c:v>
                </c:pt>
                <c:pt idx="206" formatCode="0.00">
                  <c:v>-3.7677231796849242E-3</c:v>
                </c:pt>
                <c:pt idx="207" formatCode="0.00">
                  <c:v>-3.7498382408015893E-3</c:v>
                </c:pt>
                <c:pt idx="208" formatCode="0.00">
                  <c:v>-3.7321165273218669E-3</c:v>
                </c:pt>
                <c:pt idx="209" formatCode="0.00">
                  <c:v>-3.7145559378458093E-3</c:v>
                </c:pt>
                <c:pt idx="210" formatCode="0.00">
                  <c:v>-3.6971544043282174E-3</c:v>
                </c:pt>
                <c:pt idx="211" formatCode="0.00">
                  <c:v>-3.6799098914725411E-3</c:v>
                </c:pt>
                <c:pt idx="212" formatCode="0.00">
                  <c:v>-3.6628203961368319E-3</c:v>
                </c:pt>
                <c:pt idx="213" formatCode="0.00">
                  <c:v>-3.6458839467515131E-3</c:v>
                </c:pt>
                <c:pt idx="214" formatCode="0.00">
                  <c:v>-3.6290986027487011E-3</c:v>
                </c:pt>
                <c:pt idx="215" formatCode="0.00">
                  <c:v>-3.6124624540028417E-3</c:v>
                </c:pt>
                <c:pt idx="216" formatCode="0.00">
                  <c:v>-3.5959736202824184E-3</c:v>
                </c:pt>
                <c:pt idx="217" formatCode="0.00">
                  <c:v>-3.5796302507125036E-3</c:v>
                </c:pt>
                <c:pt idx="218" formatCode="0.00">
                  <c:v>-3.5634305232479157E-3</c:v>
                </c:pt>
                <c:pt idx="219" formatCode="0.00">
                  <c:v>-3.5473726441567701E-3</c:v>
                </c:pt>
                <c:pt idx="220" formatCode="0.00">
                  <c:v>-3.5314548475141906E-3</c:v>
                </c:pt>
                <c:pt idx="221" formatCode="0.00">
                  <c:v>-3.5156753947059834E-3</c:v>
                </c:pt>
                <c:pt idx="222" formatCode="0.00">
                  <c:v>-3.5000325739420511E-3</c:v>
                </c:pt>
                <c:pt idx="223" formatCode="0.00">
                  <c:v>-3.4845246997793509E-3</c:v>
                </c:pt>
                <c:pt idx="224" formatCode="0.00">
                  <c:v>-3.469150112654194E-3</c:v>
                </c:pt>
                <c:pt idx="225" formatCode="0.00">
                  <c:v>-3.4539071784236838E-3</c:v>
                </c:pt>
                <c:pt idx="226" formatCode="0.00">
                  <c:v>-3.43879428791612E-3</c:v>
                </c:pt>
                <c:pt idx="227" formatCode="0.00">
                  <c:v>-3.4238098564901591E-3</c:v>
                </c:pt>
                <c:pt idx="228" formatCode="0.00">
                  <c:v>-3.4089523236025621E-3</c:v>
                </c:pt>
                <c:pt idx="229" formatCode="0.00">
                  <c:v>-3.3942201523843485E-3</c:v>
                </c:pt>
                <c:pt idx="230" formatCode="0.00">
                  <c:v>-3.3796118292251775E-3</c:v>
                </c:pt>
                <c:pt idx="231" formatCode="0.00">
                  <c:v>-3.3651258633657917E-3</c:v>
                </c:pt>
                <c:pt idx="232" formatCode="0.00">
                  <c:v>-3.3507607864983451E-3</c:v>
                </c:pt>
                <c:pt idx="233" formatCode="0.00">
                  <c:v>-3.336515152374465E-3</c:v>
                </c:pt>
                <c:pt idx="234" formatCode="0.00">
                  <c:v>-3.3223875364208765E-3</c:v>
                </c:pt>
                <c:pt idx="235" formatCode="0.00">
                  <c:v>-3.3083765353624376E-3</c:v>
                </c:pt>
                <c:pt idx="236" formatCode="0.00">
                  <c:v>-3.2944807668524334E-3</c:v>
                </c:pt>
                <c:pt idx="237" formatCode="0.00">
                  <c:v>-3.2806988691099735E-3</c:v>
                </c:pt>
                <c:pt idx="238" formatCode="0.00">
                  <c:v>-3.2670295005643515E-3</c:v>
                </c:pt>
                <c:pt idx="239" formatCode="0.00">
                  <c:v>-3.2534713395062208E-3</c:v>
                </c:pt>
                <c:pt idx="240" formatCode="0.00">
                  <c:v>-3.2400230837454453E-3</c:v>
                </c:pt>
                <c:pt idx="241" formatCode="0.00">
                  <c:v>-3.2266834502754881E-3</c:v>
                </c:pt>
                <c:pt idx="242" formatCode="0.00">
                  <c:v>-3.2134511749442062E-3</c:v>
                </c:pt>
                <c:pt idx="243" formatCode="0.00">
                  <c:v>-3.2003250121309191E-3</c:v>
                </c:pt>
                <c:pt idx="244" formatCode="0.00">
                  <c:v>-3.1873037344296129E-3</c:v>
                </c:pt>
                <c:pt idx="245" formatCode="0.00">
                  <c:v>-3.1743861323381773E-3</c:v>
                </c:pt>
                <c:pt idx="246" formatCode="0.00">
                  <c:v>-3.1615710139535199E-3</c:v>
                </c:pt>
                <c:pt idx="247" formatCode="0.00">
                  <c:v>-3.1488572046724696E-3</c:v>
                </c:pt>
                <c:pt idx="248" formatCode="0.00">
                  <c:v>-3.1362435468983317E-3</c:v>
                </c:pt>
                <c:pt idx="249" formatCode="0.00">
                  <c:v>-3.1237288997529762E-3</c:v>
                </c:pt>
                <c:pt idx="250" formatCode="0.00">
                  <c:v>-3.1113121387943703E-3</c:v>
                </c:pt>
                <c:pt idx="251" formatCode="0.00">
                  <c:v>-3.0989921557394145E-3</c:v>
                </c:pt>
                <c:pt idx="252" formatCode="0.00">
                  <c:v>-3.0867678581919947E-3</c:v>
                </c:pt>
                <c:pt idx="253" formatCode="General">
                  <c:v>-3.0746381693761405E-3</c:v>
                </c:pt>
                <c:pt idx="254" formatCode="General">
                  <c:v>-3.062602027874178E-3</c:v>
                </c:pt>
                <c:pt idx="255" formatCode="General">
                  <c:v>-3.0506583873697864E-3</c:v>
                </c:pt>
                <c:pt idx="256" formatCode="General">
                  <c:v>-3.0388062163958546E-3</c:v>
                </c:pt>
                <c:pt idx="257" formatCode="General">
                  <c:v>-3.0270444980870391E-3</c:v>
                </c:pt>
                <c:pt idx="258" formatCode="General">
                  <c:v>-3.0153722299369324E-3</c:v>
                </c:pt>
                <c:pt idx="259" formatCode="General">
                  <c:v>-3.0037884235597457E-3</c:v>
                </c:pt>
                <c:pt idx="260" formatCode="General">
                  <c:v>-2.9922921044564141E-3</c:v>
                </c:pt>
                <c:pt idx="261" formatCode="General">
                  <c:v>-2.9808823117850438E-3</c:v>
                </c:pt>
                <c:pt idx="262" formatCode="General">
                  <c:v>-2.9695580981356023E-3</c:v>
                </c:pt>
                <c:pt idx="263" formatCode="General">
                  <c:v>-2.9583185293087723E-3</c:v>
                </c:pt>
                <c:pt idx="264" formatCode="General">
                  <c:v>-2.9471626840988905E-3</c:v>
                </c:pt>
                <c:pt idx="265" formatCode="General">
                  <c:v>-2.9360896540808782E-3</c:v>
                </c:pt>
                <c:pt idx="266" formatCode="General">
                  <c:v>-2.9250985434010942E-3</c:v>
                </c:pt>
                <c:pt idx="267" formatCode="General">
                  <c:v>-2.91418846857203E-3</c:v>
                </c:pt>
                <c:pt idx="268" formatCode="General">
                  <c:v>-2.9033585582707634E-3</c:v>
                </c:pt>
                <c:pt idx="269" formatCode="General">
                  <c:v>-2.8926079531411057E-3</c:v>
                </c:pt>
                <c:pt idx="270" formatCode="General">
                  <c:v>-2.8819358055993628E-3</c:v>
                </c:pt>
                <c:pt idx="271" formatCode="General">
                  <c:v>-2.8713412796436376E-3</c:v>
                </c:pt>
                <c:pt idx="272" formatCode="General">
                  <c:v>-2.8608235506666119E-3</c:v>
                </c:pt>
                <c:pt idx="273" formatCode="General">
                  <c:v>-2.850381805271726E-3</c:v>
                </c:pt>
                <c:pt idx="274" formatCode="General">
                  <c:v>-2.8400152410927013E-3</c:v>
                </c:pt>
                <c:pt idx="275" formatCode="General">
                  <c:v>-2.8297230666163306E-3</c:v>
                </c:pt>
                <c:pt idx="276" formatCode="General">
                  <c:v>-2.8195045010084769E-3</c:v>
                </c:pt>
                <c:pt idx="277" formatCode="General">
                  <c:v>-2.8093587739432165E-3</c:v>
                </c:pt>
                <c:pt idx="278" formatCode="General">
                  <c:v>-2.799285125435062E-3</c:v>
                </c:pt>
                <c:pt idx="279" formatCode="General">
                  <c:v>-2.7892828056742076E-3</c:v>
                </c:pt>
                <c:pt idx="280" formatCode="General">
                  <c:v>-2.7793510748647375E-3</c:v>
                </c:pt>
                <c:pt idx="281" formatCode="General">
                  <c:v>-2.7694892030657356E-3</c:v>
                </c:pt>
                <c:pt idx="282" formatCode="General">
                  <c:v>-2.759696470035245E-3</c:v>
                </c:pt>
                <c:pt idx="283" formatCode="General">
                  <c:v>-2.7499721650770161E-3</c:v>
                </c:pt>
                <c:pt idx="284" formatCode="General">
                  <c:v>-2.7403155868899955E-3</c:v>
                </c:pt>
                <c:pt idx="285" formatCode="General">
                  <c:v>-2.7307260434204913E-3</c:v>
                </c:pt>
                <c:pt idx="286" formatCode="General">
                  <c:v>-2.7212028517169785E-3</c:v>
                </c:pt>
                <c:pt idx="287" formatCode="General">
                  <c:v>-2.7117453377874792E-3</c:v>
                </c:pt>
                <c:pt idx="288" formatCode="General">
                  <c:v>-2.7023528364594714E-3</c:v>
                </c:pt>
                <c:pt idx="289" formatCode="General">
                  <c:v>-2.6930246912422848E-3</c:v>
                </c:pt>
                <c:pt idx="290" formatCode="General">
                  <c:v>-2.6837602541919217E-3</c:v>
                </c:pt>
                <c:pt idx="291" formatCode="General">
                  <c:v>-2.6745588857782702E-3</c:v>
                </c:pt>
                <c:pt idx="292" formatCode="General">
                  <c:v>-2.6654199547546534E-3</c:v>
                </c:pt>
                <c:pt idx="293" formatCode="General">
                  <c:v>-2.6563428380296738E-3</c:v>
                </c:pt>
                <c:pt idx="294" formatCode="General">
                  <c:v>-2.6473269205413087E-3</c:v>
                </c:pt>
                <c:pt idx="295" formatCode="General">
                  <c:v>-2.6383715951332123E-3</c:v>
                </c:pt>
                <c:pt idx="296" formatCode="General">
                  <c:v>-2.6294762624331819E-3</c:v>
                </c:pt>
                <c:pt idx="297" formatCode="General">
                  <c:v>-2.620640330733749E-3</c:v>
                </c:pt>
                <c:pt idx="298" formatCode="General">
                  <c:v>-2.6118632158748482E-3</c:v>
                </c:pt>
                <c:pt idx="299" formatCode="General">
                  <c:v>-2.6031443411285351E-3</c:v>
                </c:pt>
                <c:pt idx="300" formatCode="General">
                  <c:v>-2.5944831370857029E-3</c:v>
                </c:pt>
                <c:pt idx="301" formatCode="General">
                  <c:v>-2.5858790415447656E-3</c:v>
                </c:pt>
                <c:pt idx="302" formatCode="General">
                  <c:v>-2.5773314994022691E-3</c:v>
                </c:pt>
                <c:pt idx="303" formatCode="General">
                  <c:v>-2.5688399625453948E-3</c:v>
                </c:pt>
                <c:pt idx="304" formatCode="General">
                  <c:v>-2.5604038897463158E-3</c:v>
                </c:pt>
                <c:pt idx="305" formatCode="General">
                  <c:v>-2.5520227465583747E-3</c:v>
                </c:pt>
                <c:pt idx="306" formatCode="General">
                  <c:v>-2.543696005214046E-3</c:v>
                </c:pt>
                <c:pt idx="307" formatCode="General">
                  <c:v>-2.5354231445246524E-3</c:v>
                </c:pt>
                <c:pt idx="308" formatCode="General">
                  <c:v>-2.5272036497817948E-3</c:v>
                </c:pt>
                <c:pt idx="309" formatCode="General">
                  <c:v>-2.5190370126604777E-3</c:v>
                </c:pt>
                <c:pt idx="310" formatCode="General">
                  <c:v>-2.5109227311238764E-3</c:v>
                </c:pt>
                <c:pt idx="311" formatCode="General">
                  <c:v>-2.5028603093297367E-3</c:v>
                </c:pt>
                <c:pt idx="312" formatCode="General">
                  <c:v>-2.4948492575383673E-3</c:v>
                </c:pt>
                <c:pt idx="313" formatCode="General">
                  <c:v>-2.486889092022188E-3</c:v>
                </c:pt>
                <c:pt idx="314" formatCode="General">
                  <c:v>-2.4789793349768189E-3</c:v>
                </c:pt>
                <c:pt idx="315" formatCode="General">
                  <c:v>-2.4711195144336714E-3</c:v>
                </c:pt>
                <c:pt idx="316" formatCode="General">
                  <c:v>-2.4633091641740154E-3</c:v>
                </c:pt>
                <c:pt idx="317" formatCode="General">
                  <c:v>-2.4555478236444974E-3</c:v>
                </c:pt>
                <c:pt idx="318" formatCode="General">
                  <c:v>-2.4478350378740786E-3</c:v>
                </c:pt>
                <c:pt idx="319" formatCode="General">
                  <c:v>-2.4401703573923711E-3</c:v>
                </c:pt>
                <c:pt idx="320" formatCode="General">
                  <c:v>-2.4325533381493432E-3</c:v>
                </c:pt>
                <c:pt idx="321" formatCode="General">
                  <c:v>-2.4249835414363696E-3</c:v>
                </c:pt>
                <c:pt idx="322" formatCode="General">
                  <c:v>-2.4174605338085973E-3</c:v>
                </c:pt>
                <c:pt idx="323" formatCode="General">
                  <c:v>-2.4099838870086129E-3</c:v>
                </c:pt>
                <c:pt idx="324" formatCode="General">
                  <c:v>-2.4025531778913787E-3</c:v>
                </c:pt>
                <c:pt idx="325" formatCode="General">
                  <c:v>-2.3951679883504129E-3</c:v>
                </c:pt>
                <c:pt idx="326" formatCode="General">
                  <c:v>-2.3878279052451986E-3</c:v>
                </c:pt>
                <c:pt idx="327" formatCode="General">
                  <c:v>-2.3805325203297961E-3</c:v>
                </c:pt>
                <c:pt idx="328" formatCode="General">
                  <c:v>-2.3732814301826309E-3</c:v>
                </c:pt>
                <c:pt idx="329" formatCode="General">
                  <c:v>-2.3660742361374444E-3</c:v>
                </c:pt>
                <c:pt idx="330" formatCode="General">
                  <c:v>-2.3589105442153803E-3</c:v>
                </c:pt>
                <c:pt idx="331" formatCode="General">
                  <c:v>-2.3517899650581874E-3</c:v>
                </c:pt>
                <c:pt idx="332" formatCode="0.00">
                  <c:v>-2.344712113862518E-3</c:v>
                </c:pt>
                <c:pt idx="333" formatCode="0.00">
                  <c:v>-2.337676610315306E-3</c:v>
                </c:pt>
                <c:pt idx="334" formatCode="0.00">
                  <c:v>-2.3306830785301959E-3</c:v>
                </c:pt>
                <c:pt idx="335" formatCode="0.00">
                  <c:v>-2.3237311469850148E-3</c:v>
                </c:pt>
                <c:pt idx="336" formatCode="0.00">
                  <c:v>-2.3168204484602609E-3</c:v>
                </c:pt>
                <c:pt idx="337" formatCode="0.00">
                  <c:v>-2.3099506199785909E-3</c:v>
                </c:pt>
                <c:pt idx="338" formatCode="0.00">
                  <c:v>-2.3031213027452906E-3</c:v>
                </c:pt>
                <c:pt idx="339" formatCode="0.00">
                  <c:v>-2.2963321420897127E-3</c:v>
                </c:pt>
                <c:pt idx="340" formatCode="0.00">
                  <c:v>-2.2895827874076543E-3</c:v>
                </c:pt>
                <c:pt idx="341" formatCode="0.00">
                  <c:v>-2.2828728921046727E-3</c:v>
                </c:pt>
                <c:pt idx="342" formatCode="0.00">
                  <c:v>-2.2762021135403093E-3</c:v>
                </c:pt>
                <c:pt idx="343" formatCode="0.00">
                  <c:v>-2.2695701129732118E-3</c:v>
                </c:pt>
                <c:pt idx="344" formatCode="0.00">
                  <c:v>-2.2629765555071371E-3</c:v>
                </c:pt>
                <c:pt idx="345" formatCode="0.00">
                  <c:v>-2.2564211100378211E-3</c:v>
                </c:pt>
                <c:pt idx="346" formatCode="0.00">
                  <c:v>-2.2499034492006915E-3</c:v>
                </c:pt>
                <c:pt idx="347" formatCode="0.00">
                  <c:v>-2.2434232493194254E-3</c:v>
                </c:pt>
                <c:pt idx="348" formatCode="0.00">
                  <c:v>-2.2369801903553165E-3</c:v>
                </c:pt>
                <c:pt idx="349" formatCode="0.00">
                  <c:v>-2.2305739558574544E-3</c:v>
                </c:pt>
                <c:pt idx="350" formatCode="0.00">
                  <c:v>-2.2242042329136905E-3</c:v>
                </c:pt>
                <c:pt idx="351" formatCode="0.00">
                  <c:v>-2.2178707121023821E-3</c:v>
                </c:pt>
                <c:pt idx="352" formatCode="0.00">
                  <c:v>-2.2115730874448986E-3</c:v>
                </c:pt>
                <c:pt idx="353" formatCode="0.00">
                  <c:v>-2.20531105635888E-3</c:v>
                </c:pt>
                <c:pt idx="354" formatCode="0.00">
                  <c:v>-2.1990843196122265E-3</c:v>
                </c:pt>
                <c:pt idx="355" formatCode="0.00">
                  <c:v>-2.1928925812778177E-3</c:v>
                </c:pt>
                <c:pt idx="356" formatCode="0.00">
                  <c:v>-2.1867355486889345E-3</c:v>
                </c:pt>
                <c:pt idx="357" formatCode="0.00">
                  <c:v>-2.1806129323953889E-3</c:v>
                </c:pt>
                <c:pt idx="358" formatCode="0.00">
                  <c:v>-2.1745244461203296E-3</c:v>
                </c:pt>
                <c:pt idx="359" formatCode="0.00">
                  <c:v>-2.1684698067177305E-3</c:v>
                </c:pt>
                <c:pt idx="360" formatCode="0.00">
                  <c:v>-2.1624487341305324E-3</c:v>
                </c:pt>
                <c:pt idx="361" formatCode="0.00">
                  <c:v>-2.1564609513494435E-3</c:v>
                </c:pt>
                <c:pt idx="362" formatCode="0.00">
                  <c:v>-2.1505061843723732E-3</c:v>
                </c:pt>
                <c:pt idx="363" formatCode="0.00">
                  <c:v>-2.1445841621644977E-3</c:v>
                </c:pt>
                <c:pt idx="364" formatCode="0.00">
                  <c:v>-2.1386946166189395E-3</c:v>
                </c:pt>
                <c:pt idx="365" formatCode="0.00">
                  <c:v>-2.1328372825180565E-3</c:v>
                </c:pt>
                <c:pt idx="366" formatCode="0.00">
                  <c:v>-2.1270118974953257E-3</c:v>
                </c:pt>
                <c:pt idx="367" formatCode="0.00">
                  <c:v>-2.1212182019978102E-3</c:v>
                </c:pt>
                <c:pt idx="368" formatCode="0.00">
                  <c:v>-2.1154559392492075E-3</c:v>
                </c:pt>
                <c:pt idx="369" formatCode="0.00">
                  <c:v>-2.1097248552134577E-3</c:v>
                </c:pt>
                <c:pt idx="370" formatCode="0.00">
                  <c:v>-2.1040246985589103E-3</c:v>
                </c:pt>
                <c:pt idx="371" formatCode="0.00">
                  <c:v>-2.0983552206230386E-3</c:v>
                </c:pt>
                <c:pt idx="372" formatCode="0.00">
                  <c:v>-2.0927161753776877E-3</c:v>
                </c:pt>
                <c:pt idx="373" formatCode="0.00">
                  <c:v>-2.0871073193948525E-3</c:v>
                </c:pt>
                <c:pt idx="374" formatCode="0.00">
                  <c:v>-2.0815284118129765E-3</c:v>
                </c:pt>
                <c:pt idx="375" formatCode="0.00">
                  <c:v>-2.0759792143037552E-3</c:v>
                </c:pt>
                <c:pt idx="376" formatCode="0.00">
                  <c:v>-2.0704594910394467E-3</c:v>
                </c:pt>
                <c:pt idx="377" formatCode="0.00">
                  <c:v>-2.0649690086606692E-3</c:v>
                </c:pt>
                <c:pt idx="378" formatCode="0.00">
                  <c:v>-2.0595075362446888E-3</c:v>
                </c:pt>
                <c:pt idx="379" formatCode="0.00">
                  <c:v>-2.0540748452741809E-3</c:v>
                </c:pt>
                <c:pt idx="380" formatCode="0.00">
                  <c:v>-2.0486707096064555E-3</c:v>
                </c:pt>
                <c:pt idx="381" formatCode="0.00">
                  <c:v>-2.0432949054431529E-3</c:v>
                </c:pt>
                <c:pt idx="382" formatCode="0.00">
                  <c:v>-2.03794721130038E-3</c:v>
                </c:pt>
                <c:pt idx="383" formatCode="0.00">
                  <c:v>-2.0326274079793013E-3</c:v>
                </c:pt>
                <c:pt idx="384" formatCode="0.00">
                  <c:v>-2.0273352785371594E-3</c:v>
                </c:pt>
                <c:pt idx="385" formatCode="0.00">
                  <c:v>-2.0220706082587337E-3</c:v>
                </c:pt>
                <c:pt idx="386" formatCode="0.00">
                  <c:v>-2.0168331846282146E-3</c:v>
                </c:pt>
                <c:pt idx="387" formatCode="0.00">
                  <c:v>-2.0116227973014963E-3</c:v>
                </c:pt>
                <c:pt idx="388" formatCode="0.00">
                  <c:v>-2.0064392380788809E-3</c:v>
                </c:pt>
                <c:pt idx="389" formatCode="0.00">
                  <c:v>-2.0012823008781796E-3</c:v>
                </c:pt>
                <c:pt idx="390" formatCode="0.00">
                  <c:v>-1.9961517817082136E-3</c:v>
                </c:pt>
                <c:pt idx="391" formatCode="0.00">
                  <c:v>-1.9910474786427003E-3</c:v>
                </c:pt>
                <c:pt idx="392" formatCode="0.00">
                  <c:v>-1.9859691917945266E-3</c:v>
                </c:pt>
                <c:pt idx="393" formatCode="0.00">
                  <c:v>-1.9809167232903908E-3</c:v>
                </c:pt>
                <c:pt idx="394" formatCode="0.00">
                  <c:v>-1.9758898772458218E-3</c:v>
                </c:pt>
                <c:pt idx="395" formatCode="0.00">
                  <c:v>-1.9708884597405569E-3</c:v>
                </c:pt>
                <c:pt idx="396" formatCode="0.00">
                  <c:v>-1.9659122787942813E-3</c:v>
                </c:pt>
                <c:pt idx="397" formatCode="0.00">
                  <c:v>-1.9609611443427146E-3</c:v>
                </c:pt>
                <c:pt idx="398" formatCode="0.00">
                  <c:v>-1.9560348682140468E-3</c:v>
                </c:pt>
                <c:pt idx="399" formatCode="0.00">
                  <c:v>-1.9511332641057155E-3</c:v>
                </c:pt>
                <c:pt idx="400" formatCode="0.00">
                  <c:v>-1.9462561475615133E-3</c:v>
                </c:pt>
                <c:pt idx="401" formatCode="0.00">
                  <c:v>-1.941403335949029E-3</c:v>
                </c:pt>
                <c:pt idx="402" formatCode="0.00">
                  <c:v>-1.9365746484374118E-3</c:v>
                </c:pt>
                <c:pt idx="403" formatCode="0.00">
                  <c:v>-1.9317699059754518E-3</c:v>
                </c:pt>
                <c:pt idx="404" formatCode="0.00">
                  <c:v>-1.9269889312699764E-3</c:v>
                </c:pt>
                <c:pt idx="405" formatCode="0.00">
                  <c:v>-1.9222315487645552E-3</c:v>
                </c:pt>
                <c:pt idx="406" formatCode="0.00">
                  <c:v>-1.9174975846185064E-3</c:v>
                </c:pt>
                <c:pt idx="407" formatCode="0.00">
                  <c:v>-1.9127868666862029E-3</c:v>
                </c:pt>
                <c:pt idx="408" formatCode="0.00">
                  <c:v>-1.9080992244966731E-3</c:v>
                </c:pt>
                <c:pt idx="409" formatCode="0.00">
                  <c:v>-1.9034344892334889E-3</c:v>
                </c:pt>
                <c:pt idx="410" formatCode="0.00">
                  <c:v>-1.8987924937149373E-3</c:v>
                </c:pt>
                <c:pt idx="411" formatCode="0.00">
                  <c:v>-1.8941730723744759E-3</c:v>
                </c:pt>
                <c:pt idx="412" formatCode="0.00">
                  <c:v>-1.8895760612414588E-3</c:v>
                </c:pt>
                <c:pt idx="413" formatCode="0.00">
                  <c:v>-1.8850012979221363E-3</c:v>
                </c:pt>
                <c:pt idx="414" formatCode="0.00">
                  <c:v>-1.88044862158092E-3</c:v>
                </c:pt>
                <c:pt idx="415" formatCode="0.00">
                  <c:v>-1.8759178729219109E-3</c:v>
                </c:pt>
                <c:pt idx="416" formatCode="0.00">
                  <c:v>-1.8714088941706836E-3</c:v>
                </c:pt>
                <c:pt idx="417" formatCode="0.00">
                  <c:v>-1.8669215290563288E-3</c:v>
                </c:pt>
                <c:pt idx="418" formatCode="0.00">
                  <c:v>-1.8624556227937409E-3</c:v>
                </c:pt>
                <c:pt idx="419" formatCode="0.00">
                  <c:v>-1.8580110220661541E-3</c:v>
                </c:pt>
                <c:pt idx="420" formatCode="0.00">
                  <c:v>-1.8535875750079209E-3</c:v>
                </c:pt>
                <c:pt idx="421" formatCode="0.00">
                  <c:v>-1.8491851311875276E-3</c:v>
                </c:pt>
                <c:pt idx="422" formatCode="0.00">
                  <c:v>-1.8448035415908454E-3</c:v>
                </c:pt>
                <c:pt idx="423" formatCode="0.00">
                  <c:v>-1.8404426586046115E-3</c:v>
                </c:pt>
                <c:pt idx="424" formatCode="0.00">
                  <c:v>-1.8361023360001388E-3</c:v>
                </c:pt>
                <c:pt idx="425" formatCode="0.00">
                  <c:v>-1.831782428917248E-3</c:v>
                </c:pt>
                <c:pt idx="426" formatCode="0.00">
                  <c:v>-1.8274827938484194E-3</c:v>
                </c:pt>
                <c:pt idx="427" formatCode="0.00">
                  <c:v>-1.8232032886231625E-3</c:v>
                </c:pt>
                <c:pt idx="428" formatCode="0.00">
                  <c:v>-1.8189437723926006E-3</c:v>
                </c:pt>
                <c:pt idx="429" formatCode="0.00">
                  <c:v>-1.8147041056142611E-3</c:v>
                </c:pt>
                <c:pt idx="430" formatCode="0.00">
                  <c:v>-1.8104841500370759E-3</c:v>
                </c:pt>
                <c:pt idx="431" formatCode="0.00">
                  <c:v>-1.8062837686865848E-3</c:v>
                </c:pt>
                <c:pt idx="432" formatCode="0.00">
                  <c:v>-1.8021028258503383E-3</c:v>
                </c:pt>
                <c:pt idx="433" formatCode="0.00">
                  <c:v>-1.7979411870634996E-3</c:v>
                </c:pt>
                <c:pt idx="434" formatCode="0.00">
                  <c:v>-1.7937987190946377E-3</c:v>
                </c:pt>
                <c:pt idx="435" formatCode="0.00">
                  <c:v>-1.7896752899317153E-3</c:v>
                </c:pt>
                <c:pt idx="436" formatCode="0.00">
                  <c:v>-1.7855707687682626E-3</c:v>
                </c:pt>
                <c:pt idx="437" formatCode="0.00">
                  <c:v>-1.7814850259897383E-3</c:v>
                </c:pt>
                <c:pt idx="438" formatCode="0.00">
                  <c:v>-1.7774179331600708E-3</c:v>
                </c:pt>
                <c:pt idx="439" formatCode="0.00">
                  <c:v>-1.7733693630083815E-3</c:v>
                </c:pt>
                <c:pt idx="440" formatCode="0.00">
                  <c:v>-1.7693391894158842E-3</c:v>
                </c:pt>
                <c:pt idx="441" formatCode="0.00">
                  <c:v>-1.7653272874029596E-3</c:v>
                </c:pt>
                <c:pt idx="442" formatCode="0.00">
                  <c:v>-1.7613335331163992E-3</c:v>
                </c:pt>
                <c:pt idx="443" formatCode="0.00">
                  <c:v>-1.7573578038168215E-3</c:v>
                </c:pt>
                <c:pt idx="444" formatCode="0.00">
                  <c:v>-1.7533999778662525E-3</c:v>
                </c:pt>
                <c:pt idx="445" formatCode="0.00">
                  <c:v>-1.7494599347158708E-3</c:v>
                </c:pt>
                <c:pt idx="446" formatCode="0.00">
                  <c:v>-1.7455375548939144E-3</c:v>
                </c:pt>
                <c:pt idx="447" formatCode="0.00">
                  <c:v>-1.7416327199937464E-3</c:v>
                </c:pt>
                <c:pt idx="448" formatCode="0.00">
                  <c:v>-1.737745312662078E-3</c:v>
                </c:pt>
                <c:pt idx="449" formatCode="0.00">
                  <c:v>-1.7338752165873446E-3</c:v>
                </c:pt>
                <c:pt idx="450" formatCode="0.00">
                  <c:v>-1.7300223164882348E-3</c:v>
                </c:pt>
                <c:pt idx="451" formatCode="0.00">
                  <c:v>-1.7261864981023692E-3</c:v>
                </c:pt>
                <c:pt idx="452" formatCode="0.00">
                  <c:v>-1.7223676481751258E-3</c:v>
                </c:pt>
                <c:pt idx="453" formatCode="0.00">
                  <c:v>-1.7185656544486136E-3</c:v>
                </c:pt>
                <c:pt idx="454" formatCode="0.00">
                  <c:v>-1.7147804056507835E-3</c:v>
                </c:pt>
                <c:pt idx="455" formatCode="0.00">
                  <c:v>-1.7110117914846867E-3</c:v>
                </c:pt>
                <c:pt idx="456" formatCode="0.00">
                  <c:v>-1.707259702617868E-3</c:v>
                </c:pt>
                <c:pt idx="457" formatCode="0.00">
                  <c:v>-1.7035240306718968E-3</c:v>
                </c:pt>
                <c:pt idx="458" formatCode="0.00">
                  <c:v>-1.6998046682120348E-3</c:v>
                </c:pt>
                <c:pt idx="459" formatCode="0.00">
                  <c:v>-1.6961015087370325E-3</c:v>
                </c:pt>
                <c:pt idx="460" formatCode="0.00">
                  <c:v>-1.6924144466690611E-3</c:v>
                </c:pt>
                <c:pt idx="461" formatCode="0.00">
                  <c:v>-1.6887433773437699E-3</c:v>
                </c:pt>
                <c:pt idx="462" formatCode="0.00">
                  <c:v>-1.6850881970004732E-3</c:v>
                </c:pt>
                <c:pt idx="463" formatCode="0.00">
                  <c:v>-1.6814488027724604E-3</c:v>
                </c:pt>
                <c:pt idx="464" formatCode="0.00">
                  <c:v>-1.6778250926774308E-3</c:v>
                </c:pt>
                <c:pt idx="465" formatCode="0.00">
                  <c:v>-1.67421696560805E-3</c:v>
                </c:pt>
                <c:pt idx="466" formatCode="0.00">
                  <c:v>-1.6706243213226238E-3</c:v>
                </c:pt>
                <c:pt idx="467" formatCode="0.00">
                  <c:v>-1.6670470604358944E-3</c:v>
                </c:pt>
                <c:pt idx="468" formatCode="0.00">
                  <c:v>-1.6634850844099484E-3</c:v>
                </c:pt>
                <c:pt idx="469" formatCode="0.00">
                  <c:v>-1.6599382955452427E-3</c:v>
                </c:pt>
                <c:pt idx="470" formatCode="0.00">
                  <c:v>-1.6564065969717414E-3</c:v>
                </c:pt>
                <c:pt idx="471" formatCode="0.00">
                  <c:v>-1.6528898926401652E-3</c:v>
                </c:pt>
                <c:pt idx="472" formatCode="0.00">
                  <c:v>-1.64938808731335E-3</c:v>
                </c:pt>
                <c:pt idx="473" formatCode="0.00">
                  <c:v>-1.6459010865577139E-3</c:v>
                </c:pt>
                <c:pt idx="474" formatCode="0.00">
                  <c:v>-1.6424287967348296E-3</c:v>
                </c:pt>
                <c:pt idx="475" formatCode="0.00">
                  <c:v>-1.6389711249931048E-3</c:v>
                </c:pt>
                <c:pt idx="476" formatCode="0.00">
                  <c:v>-1.6355279792595622E-3</c:v>
                </c:pt>
                <c:pt idx="477" formatCode="0.00">
                  <c:v>-1.6320992682317249E-3</c:v>
                </c:pt>
                <c:pt idx="478" formatCode="0.00">
                  <c:v>-1.6286849013696007E-3</c:v>
                </c:pt>
                <c:pt idx="479" formatCode="0.00">
                  <c:v>-1.6252847888877662E-3</c:v>
                </c:pt>
                <c:pt idx="480" formatCode="0.00">
                  <c:v>-1.6218988417475478E-3</c:v>
                </c:pt>
                <c:pt idx="481" formatCode="0.00">
                  <c:v>-1.6185269716493002E-3</c:v>
                </c:pt>
                <c:pt idx="482" formatCode="0.00">
                  <c:v>-1.6151690910247798E-3</c:v>
                </c:pt>
                <c:pt idx="483" formatCode="0.00">
                  <c:v>-1.6118251130296103E-3</c:v>
                </c:pt>
                <c:pt idx="484" formatCode="0.00">
                  <c:v>-1.6084949515358423E-3</c:v>
                </c:pt>
                <c:pt idx="485" formatCode="0.00">
                  <c:v>-1.605178521124604E-3</c:v>
                </c:pt>
                <c:pt idx="486" formatCode="0.00">
                  <c:v>-1.6018757370788396E-3</c:v>
                </c:pt>
                <c:pt idx="487" formatCode="0.00">
                  <c:v>-1.5985865153761386E-3</c:v>
                </c:pt>
                <c:pt idx="488" formatCode="0.00">
                  <c:v>-1.595310772681651E-3</c:v>
                </c:pt>
                <c:pt idx="489" formatCode="0.00">
                  <c:v>-1.5920484263410885E-3</c:v>
                </c:pt>
                <c:pt idx="490" formatCode="0.00">
                  <c:v>-1.5887993943738113E-3</c:v>
                </c:pt>
                <c:pt idx="491" formatCode="0.00">
                  <c:v>-1.5855635954659982E-3</c:v>
                </c:pt>
                <c:pt idx="492" formatCode="0.00">
                  <c:v>-1.5823409489638981E-3</c:v>
                </c:pt>
                <c:pt idx="493" formatCode="0.00">
                  <c:v>-1.5791313748671648E-3</c:v>
                </c:pt>
                <c:pt idx="494" formatCode="0.00">
                  <c:v>-1.57593479382227E-3</c:v>
                </c:pt>
                <c:pt idx="495" formatCode="0.00">
                  <c:v>-1.5727511271159977E-3</c:v>
                </c:pt>
                <c:pt idx="496" formatCode="0.00">
                  <c:v>-1.5695802966690132E-3</c:v>
                </c:pt>
                <c:pt idx="497" formatCode="0.00">
                  <c:v>-1.5664222250295135E-3</c:v>
                </c:pt>
                <c:pt idx="498" formatCode="0.00">
                  <c:v>-1.5632768353669474E-3</c:v>
                </c:pt>
                <c:pt idx="499" formatCode="0.00">
                  <c:v>-1.5601440514658184E-3</c:v>
                </c:pt>
                <c:pt idx="500" formatCode="0.00">
                  <c:v>-1.5570237977195541E-3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A7-4DF5-8F3D-D1A4496332F8}"/>
            </c:ext>
          </c:extLst>
        </c:ser>
        <c:ser>
          <c:idx val="3"/>
          <c:order val="2"/>
          <c:tx>
            <c:strRef>
              <c:f>NSS!$CQ$2</c:f>
              <c:strCache>
                <c:ptCount val="1"/>
                <c:pt idx="0">
                  <c:v>First hump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NSS!$CN$3:$CN$503</c:f>
              <c:numCache>
                <c:formatCode>General</c:formatCode>
                <c:ptCount val="501"/>
                <c:pt idx="0" formatCode="0">
                  <c:v>9.9999999999999995E-7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 formatCode="0.0">
                  <c:v>32</c:v>
                </c:pt>
                <c:pt idx="65" formatCode="0.0">
                  <c:v>32.5</c:v>
                </c:pt>
                <c:pt idx="66" formatCode="0.0">
                  <c:v>33</c:v>
                </c:pt>
                <c:pt idx="67" formatCode="0.0">
                  <c:v>33.5</c:v>
                </c:pt>
                <c:pt idx="68" formatCode="0.0">
                  <c:v>34</c:v>
                </c:pt>
                <c:pt idx="69" formatCode="0.0">
                  <c:v>34.5</c:v>
                </c:pt>
                <c:pt idx="70" formatCode="0.0">
                  <c:v>35</c:v>
                </c:pt>
                <c:pt idx="71" formatCode="0.0">
                  <c:v>35.5</c:v>
                </c:pt>
                <c:pt idx="72" formatCode="0.0">
                  <c:v>36</c:v>
                </c:pt>
                <c:pt idx="73" formatCode="0.0">
                  <c:v>36.5</c:v>
                </c:pt>
                <c:pt idx="74" formatCode="0.0">
                  <c:v>37</c:v>
                </c:pt>
                <c:pt idx="75" formatCode="0.0">
                  <c:v>37.5</c:v>
                </c:pt>
                <c:pt idx="76" formatCode="0.0">
                  <c:v>38</c:v>
                </c:pt>
                <c:pt idx="77" formatCode="0.0">
                  <c:v>38.5</c:v>
                </c:pt>
                <c:pt idx="78" formatCode="0.0">
                  <c:v>39</c:v>
                </c:pt>
                <c:pt idx="79" formatCode="0.0">
                  <c:v>39.5</c:v>
                </c:pt>
                <c:pt idx="80" formatCode="0.0">
                  <c:v>40</c:v>
                </c:pt>
                <c:pt idx="81" formatCode="0.0">
                  <c:v>40.5</c:v>
                </c:pt>
                <c:pt idx="82" formatCode="0.0">
                  <c:v>41</c:v>
                </c:pt>
                <c:pt idx="83" formatCode="0.0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</c:numCache>
            </c:numRef>
          </c:cat>
          <c:val>
            <c:numRef>
              <c:f>NSS!$CQ$3:$CQ$503</c:f>
              <c:numCache>
                <c:formatCode>0.00%</c:formatCode>
                <c:ptCount val="501"/>
                <c:pt idx="0">
                  <c:v>1.4819519269788485E-9</c:v>
                </c:pt>
                <c:pt idx="1">
                  <c:v>7.2597819972507638E-4</c:v>
                </c:pt>
                <c:pt idx="2">
                  <c:v>1.4250602486923776E-3</c:v>
                </c:pt>
                <c:pt idx="3">
                  <c:v>2.0980865110766262E-3</c:v>
                </c:pt>
                <c:pt idx="4">
                  <c:v>2.7458724613613566E-3</c:v>
                </c:pt>
                <c:pt idx="5">
                  <c:v>3.3692094041413469E-3</c:v>
                </c:pt>
                <c:pt idx="6">
                  <c:v>3.9688651733721832E-3</c:v>
                </c:pt>
                <c:pt idx="7">
                  <c:v>4.545584811649071E-3</c:v>
                </c:pt>
                <c:pt idx="8">
                  <c:v>5.1000912300812494E-3</c:v>
                </c:pt>
                <c:pt idx="9">
                  <c:v>5.6330858493112588E-3</c:v>
                </c:pt>
                <c:pt idx="10">
                  <c:v>6.145249222214752E-3</c:v>
                </c:pt>
                <c:pt idx="11">
                  <c:v>6.6372416387990973E-3</c:v>
                </c:pt>
                <c:pt idx="12">
                  <c:v>7.1097037138065236E-3</c:v>
                </c:pt>
                <c:pt idx="13">
                  <c:v>7.5632569575117574E-3</c:v>
                </c:pt>
                <c:pt idx="14">
                  <c:v>7.998504330191036E-3</c:v>
                </c:pt>
                <c:pt idx="15">
                  <c:v>8.4160307807259731E-3</c:v>
                </c:pt>
                <c:pt idx="16">
                  <c:v>8.8164037697920066E-3</c:v>
                </c:pt>
                <c:pt idx="17">
                  <c:v>9.2001737780693389E-3</c:v>
                </c:pt>
                <c:pt idx="18">
                  <c:v>9.5678747999012846E-3</c:v>
                </c:pt>
                <c:pt idx="19">
                  <c:v>9.9200248228130897E-3</c:v>
                </c:pt>
                <c:pt idx="20">
                  <c:v>1.0257126293292944E-2</c:v>
                </c:pt>
                <c:pt idx="21">
                  <c:v>1.0579666569225004E-2</c:v>
                </c:pt>
                <c:pt idx="22">
                  <c:v>1.0888118359353766E-2</c:v>
                </c:pt>
                <c:pt idx="23">
                  <c:v>1.1182940150148131E-2</c:v>
                </c:pt>
                <c:pt idx="24">
                  <c:v>1.1464576620423009E-2</c:v>
                </c:pt>
                <c:pt idx="25">
                  <c:v>1.1733459044066662E-2</c:v>
                </c:pt>
                <c:pt idx="26">
                  <c:v>1.1990005681211521E-2</c:v>
                </c:pt>
                <c:pt idx="27">
                  <c:v>1.2234622158177137E-2</c:v>
                </c:pt>
                <c:pt idx="28">
                  <c:v>1.2467701836504546E-2</c:v>
                </c:pt>
                <c:pt idx="29">
                  <c:v>1.2689626171392077E-2</c:v>
                </c:pt>
                <c:pt idx="30">
                  <c:v>1.2900765059834207E-2</c:v>
                </c:pt>
                <c:pt idx="31">
                  <c:v>1.3101477178756231E-2</c:v>
                </c:pt>
                <c:pt idx="32">
                  <c:v>1.3292110313429495E-2</c:v>
                </c:pt>
                <c:pt idx="33">
                  <c:v>1.3473001676443667E-2</c:v>
                </c:pt>
                <c:pt idx="34">
                  <c:v>1.3644478217504951E-2</c:v>
                </c:pt>
                <c:pt idx="35">
                  <c:v>1.3806856924321228E-2</c:v>
                </c:pt>
                <c:pt idx="36">
                  <c:v>1.3960445114828031E-2</c:v>
                </c:pt>
                <c:pt idx="37">
                  <c:v>1.4105540721001916E-2</c:v>
                </c:pt>
                <c:pt idx="38">
                  <c:v>1.4242432564500786E-2</c:v>
                </c:pt>
                <c:pt idx="39">
                  <c:v>1.4371400624364114E-2</c:v>
                </c:pt>
                <c:pt idx="40">
                  <c:v>1.4492716296999188E-2</c:v>
                </c:pt>
                <c:pt idx="41">
                  <c:v>1.4606642648673408E-2</c:v>
                </c:pt>
                <c:pt idx="42">
                  <c:v>1.4713434660725958E-2</c:v>
                </c:pt>
                <c:pt idx="43">
                  <c:v>1.4813339467706774E-2</c:v>
                </c:pt>
                <c:pt idx="44">
                  <c:v>1.4906596588644284E-2</c:v>
                </c:pt>
                <c:pt idx="45">
                  <c:v>1.49934381516379E-2</c:v>
                </c:pt>
                <c:pt idx="46">
                  <c:v>1.5074089111965883E-2</c:v>
                </c:pt>
                <c:pt idx="47">
                  <c:v>1.5148767463893362E-2</c:v>
                </c:pt>
                <c:pt idx="48">
                  <c:v>1.5217684446360558E-2</c:v>
                </c:pt>
                <c:pt idx="49">
                  <c:v>1.5281044742725722E-2</c:v>
                </c:pt>
                <c:pt idx="50">
                  <c:v>1.5339046674732664E-2</c:v>
                </c:pt>
                <c:pt idx="51">
                  <c:v>1.5391882390867733E-2</c:v>
                </c:pt>
                <c:pt idx="52">
                  <c:v>1.5439738049266606E-2</c:v>
                </c:pt>
                <c:pt idx="53">
                  <c:v>1.5482793995326502E-2</c:v>
                </c:pt>
                <c:pt idx="54">
                  <c:v>1.5521224934175258E-2</c:v>
                </c:pt>
                <c:pt idx="55">
                  <c:v>1.5555200098144102E-2</c:v>
                </c:pt>
                <c:pt idx="56">
                  <c:v>1.5584883409387223E-2</c:v>
                </c:pt>
                <c:pt idx="57">
                  <c:v>1.5610433637786671E-2</c:v>
                </c:pt>
                <c:pt idx="58">
                  <c:v>1.563200455427765E-2</c:v>
                </c:pt>
                <c:pt idx="59">
                  <c:v>1.5649745079725101E-2</c:v>
                </c:pt>
                <c:pt idx="60">
                  <c:v>1.566379942947901E-2</c:v>
                </c:pt>
                <c:pt idx="61">
                  <c:v>1.5674307253732003E-2</c:v>
                </c:pt>
                <c:pt idx="62">
                  <c:v>1.5681403773799521E-2</c:v>
                </c:pt>
                <c:pt idx="63">
                  <c:v>1.5685219914439323E-2</c:v>
                </c:pt>
                <c:pt idx="64" formatCode="0.00">
                  <c:v>1.5685882432323786E-2</c:v>
                </c:pt>
                <c:pt idx="65" formatCode="0.00">
                  <c:v>1.5683514040775188E-2</c:v>
                </c:pt>
                <c:pt idx="66" formatCode="0.00">
                  <c:v>1.5678233530871135E-2</c:v>
                </c:pt>
                <c:pt idx="67" formatCode="0.00">
                  <c:v>1.567015588902422E-2</c:v>
                </c:pt>
                <c:pt idx="68" formatCode="0.00">
                  <c:v>1.5659392411136917E-2</c:v>
                </c:pt>
                <c:pt idx="69" formatCode="0.00">
                  <c:v>1.5646050813430044E-2</c:v>
                </c:pt>
                <c:pt idx="70" formatCode="0.00">
                  <c:v>1.5630235340040211E-2</c:v>
                </c:pt>
                <c:pt idx="71" formatCode="0.00">
                  <c:v>1.5612046867478928E-2</c:v>
                </c:pt>
                <c:pt idx="72" formatCode="0.00">
                  <c:v>1.5591583006043547E-2</c:v>
                </c:pt>
                <c:pt idx="73" formatCode="0.00">
                  <c:v>1.5568938198267497E-2</c:v>
                </c:pt>
                <c:pt idx="74" formatCode="0.00">
                  <c:v>1.5544203814494896E-2</c:v>
                </c:pt>
                <c:pt idx="75" formatCode="0.00">
                  <c:v>1.5517468245662141E-2</c:v>
                </c:pt>
                <c:pt idx="76" formatCode="0.00">
                  <c:v>1.548881699336674E-2</c:v>
                </c:pt>
                <c:pt idx="77" formatCode="0.00">
                  <c:v>1.545833275730138E-2</c:v>
                </c:pt>
                <c:pt idx="78" formatCode="0.00">
                  <c:v>1.5426095520129015E-2</c:v>
                </c:pt>
                <c:pt idx="79" formatCode="0.00">
                  <c:v>1.5392182629872532E-2</c:v>
                </c:pt>
                <c:pt idx="80" formatCode="0.00">
                  <c:v>1.5356668879890555E-2</c:v>
                </c:pt>
                <c:pt idx="81" formatCode="0.00">
                  <c:v>1.531962658650885E-2</c:v>
                </c:pt>
                <c:pt idx="82" formatCode="0.00">
                  <c:v>1.5281125664374803E-2</c:v>
                </c:pt>
                <c:pt idx="83" formatCode="0.00">
                  <c:v>1.5241233699600579E-2</c:v>
                </c:pt>
                <c:pt idx="84" formatCode="0.00">
                  <c:v>1.520001602075864E-2</c:v>
                </c:pt>
                <c:pt idx="85" formatCode="0.00">
                  <c:v>1.5157535767791538E-2</c:v>
                </c:pt>
                <c:pt idx="86" formatCode="0.00">
                  <c:v>1.5113853958896079E-2</c:v>
                </c:pt>
                <c:pt idx="87" formatCode="0.00">
                  <c:v>1.5069029555440277E-2</c:v>
                </c:pt>
                <c:pt idx="88" formatCode="0.00">
                  <c:v>1.5023119524969854E-2</c:v>
                </c:pt>
                <c:pt idx="89" formatCode="0.00">
                  <c:v>1.4976178902359428E-2</c:v>
                </c:pt>
                <c:pt idx="90" formatCode="0.00">
                  <c:v>1.4928260849161859E-2</c:v>
                </c:pt>
                <c:pt idx="91" formatCode="0.00">
                  <c:v>1.4879416711207905E-2</c:v>
                </c:pt>
                <c:pt idx="92" formatCode="0.00">
                  <c:v>1.4829696074506623E-2</c:v>
                </c:pt>
                <c:pt idx="93" formatCode="0.00">
                  <c:v>1.4779146819495659E-2</c:v>
                </c:pt>
                <c:pt idx="94" formatCode="0.00">
                  <c:v>1.4727815173689101E-2</c:v>
                </c:pt>
                <c:pt idx="95" formatCode="0.00">
                  <c:v>1.4675745762769279E-2</c:v>
                </c:pt>
                <c:pt idx="96" formatCode="0.00">
                  <c:v>1.4622981660167447E-2</c:v>
                </c:pt>
                <c:pt idx="97" formatCode="0.00">
                  <c:v>1.4569564435177103E-2</c:v>
                </c:pt>
                <c:pt idx="98" formatCode="0.00">
                  <c:v>1.4515534199642468E-2</c:v>
                </c:pt>
                <c:pt idx="99" formatCode="0.00">
                  <c:v>1.4460929653263293E-2</c:v>
                </c:pt>
                <c:pt idx="100" formatCode="0.00">
                  <c:v>1.4405788127556138E-2</c:v>
                </c:pt>
                <c:pt idx="101" formatCode="0.00">
                  <c:v>1.4350145628511069E-2</c:v>
                </c:pt>
                <c:pt idx="102" formatCode="0.00">
                  <c:v>1.4294036877981517E-2</c:v>
                </c:pt>
                <c:pt idx="103" formatCode="0.00">
                  <c:v>1.4237495353844104E-2</c:v>
                </c:pt>
                <c:pt idx="104" formatCode="0.00">
                  <c:v>1.4180553328964129E-2</c:v>
                </c:pt>
                <c:pt idx="105" formatCode="0.00">
                  <c:v>1.4123241909001296E-2</c:v>
                </c:pt>
                <c:pt idx="106" formatCode="0.00">
                  <c:v>1.4065591069089488E-2</c:v>
                </c:pt>
                <c:pt idx="107" formatCode="0.00">
                  <c:v>1.400762968942313E-2</c:v>
                </c:pt>
                <c:pt idx="108" formatCode="0.00">
                  <c:v>1.3949385589782112E-2</c:v>
                </c:pt>
                <c:pt idx="109" formatCode="0.00">
                  <c:v>1.3890885563025913E-2</c:v>
                </c:pt>
                <c:pt idx="110" formatCode="0.00">
                  <c:v>1.383215540758709E-2</c:v>
                </c:pt>
                <c:pt idx="111" formatCode="0.00">
                  <c:v>1.3773219958993138E-2</c:v>
                </c:pt>
                <c:pt idx="112" formatCode="0.00">
                  <c:v>1.3714103120445041E-2</c:v>
                </c:pt>
                <c:pt idx="113" formatCode="0.00">
                  <c:v>1.3654827892480008E-2</c:v>
                </c:pt>
                <c:pt idx="114" formatCode="0.00">
                  <c:v>1.3595416401744997E-2</c:v>
                </c:pt>
                <c:pt idx="115" formatCode="0.00">
                  <c:v>1.353588992890704E-2</c:v>
                </c:pt>
                <c:pt idx="116" formatCode="0.00">
                  <c:v>1.3476268935725476E-2</c:v>
                </c:pt>
                <c:pt idx="117" formatCode="0.00">
                  <c:v>1.3416573091310578E-2</c:v>
                </c:pt>
                <c:pt idx="118" formatCode="0.00">
                  <c:v>1.3356821297592303E-2</c:v>
                </c:pt>
                <c:pt idx="119" formatCode="0.00">
                  <c:v>1.3297031714022229E-2</c:v>
                </c:pt>
                <c:pt idx="120" formatCode="0.00">
                  <c:v>1.3237221781531097E-2</c:v>
                </c:pt>
                <c:pt idx="121" formatCode="0.00">
                  <c:v>1.3177408245763703E-2</c:v>
                </c:pt>
                <c:pt idx="122" formatCode="0.00">
                  <c:v>1.3117607179612288E-2</c:v>
                </c:pt>
                <c:pt idx="123" formatCode="0.00">
                  <c:v>1.305783400506893E-2</c:v>
                </c:pt>
                <c:pt idx="124" formatCode="0.00">
                  <c:v>1.2998103514416895E-2</c:v>
                </c:pt>
                <c:pt idx="125" formatCode="0.00">
                  <c:v>1.2938429890780282E-2</c:v>
                </c:pt>
                <c:pt idx="126" formatCode="0.00">
                  <c:v>1.2878826728050819E-2</c:v>
                </c:pt>
                <c:pt idx="127" formatCode="0.00">
                  <c:v>1.2819307050209975E-2</c:v>
                </c:pt>
                <c:pt idx="128" formatCode="0.00">
                  <c:v>1.275988333006425E-2</c:v>
                </c:pt>
                <c:pt idx="129" formatCode="0.00">
                  <c:v>1.2700567507410752E-2</c:v>
                </c:pt>
                <c:pt idx="130" formatCode="0.00">
                  <c:v>1.2641371006649874E-2</c:v>
                </c:pt>
                <c:pt idx="131" formatCode="0.00">
                  <c:v>1.2582304753861252E-2</c:v>
                </c:pt>
                <c:pt idx="132" formatCode="0.00">
                  <c:v>1.2523379193358858E-2</c:v>
                </c:pt>
                <c:pt idx="133" formatCode="0.00">
                  <c:v>1.2464604303740452E-2</c:v>
                </c:pt>
                <c:pt idx="134" formatCode="0.00">
                  <c:v>1.240598961344638E-2</c:v>
                </c:pt>
                <c:pt idx="135" formatCode="0.00">
                  <c:v>1.2347544215842074E-2</c:v>
                </c:pt>
                <c:pt idx="136" formatCode="0.00">
                  <c:v>1.2289276783838366E-2</c:v>
                </c:pt>
                <c:pt idx="137" formatCode="0.00">
                  <c:v>1.223119558406317E-2</c:v>
                </c:pt>
                <c:pt idx="138" formatCode="0.00">
                  <c:v>1.2173308490597853E-2</c:v>
                </c:pt>
                <c:pt idx="139" formatCode="0.00">
                  <c:v>1.2115622998291055E-2</c:v>
                </c:pt>
                <c:pt idx="140" formatCode="0.00">
                  <c:v>1.2058146235662502E-2</c:v>
                </c:pt>
                <c:pt idx="141" formatCode="0.00">
                  <c:v>1.2000884977408909E-2</c:v>
                </c:pt>
                <c:pt idx="142" formatCode="0.00">
                  <c:v>1.1943845656523736E-2</c:v>
                </c:pt>
                <c:pt idx="143" formatCode="0.00">
                  <c:v>1.1887034376042252E-2</c:v>
                </c:pt>
                <c:pt idx="144" formatCode="0.00">
                  <c:v>1.1830456920422953E-2</c:v>
                </c:pt>
                <c:pt idx="145" formatCode="0.00">
                  <c:v>1.1774118766576159E-2</c:v>
                </c:pt>
                <c:pt idx="146" formatCode="0.00">
                  <c:v>1.1718025094550243E-2</c:v>
                </c:pt>
                <c:pt idx="147" formatCode="0.00">
                  <c:v>1.1662180797885609E-2</c:v>
                </c:pt>
                <c:pt idx="148" formatCode="0.00">
                  <c:v>1.1606590493646353E-2</c:v>
                </c:pt>
                <c:pt idx="149" formatCode="0.00">
                  <c:v>1.1551258532139133E-2</c:v>
                </c:pt>
                <c:pt idx="150" formatCode="0.00">
                  <c:v>1.149618900632856E-2</c:v>
                </c:pt>
                <c:pt idx="151" formatCode="0.00">
                  <c:v>1.1441385760958156E-2</c:v>
                </c:pt>
                <c:pt idx="152" formatCode="0.00">
                  <c:v>1.1386852401385639E-2</c:v>
                </c:pt>
                <c:pt idx="153" formatCode="0.00">
                  <c:v>1.1332592302141047E-2</c:v>
                </c:pt>
                <c:pt idx="154" formatCode="0.00">
                  <c:v>1.1278608615215947E-2</c:v>
                </c:pt>
                <c:pt idx="155" formatCode="0.00">
                  <c:v>1.1224904278091809E-2</c:v>
                </c:pt>
                <c:pt idx="156" formatCode="0.00">
                  <c:v>1.117148202151527E-2</c:v>
                </c:pt>
                <c:pt idx="157" formatCode="0.00">
                  <c:v>1.1118344377027916E-2</c:v>
                </c:pt>
                <c:pt idx="158" formatCode="0.00">
                  <c:v>1.1065493684257856E-2</c:v>
                </c:pt>
                <c:pt idx="159" formatCode="0.00">
                  <c:v>1.1012932097980311E-2</c:v>
                </c:pt>
                <c:pt idx="160" formatCode="0.00">
                  <c:v>1.0960661594954041E-2</c:v>
                </c:pt>
                <c:pt idx="161" formatCode="0.00">
                  <c:v>1.0908683980540417E-2</c:v>
                </c:pt>
                <c:pt idx="162" formatCode="0.00">
                  <c:v>1.0857000895111603E-2</c:v>
                </c:pt>
                <c:pt idx="163" formatCode="0.00">
                  <c:v>1.0805613820254209E-2</c:v>
                </c:pt>
                <c:pt idx="164" formatCode="0.00">
                  <c:v>1.0754524084774571E-2</c:v>
                </c:pt>
                <c:pt idx="165" formatCode="0.00">
                  <c:v>1.070373287051161E-2</c:v>
                </c:pt>
                <c:pt idx="166" formatCode="0.00">
                  <c:v>1.0653241217963077E-2</c:v>
                </c:pt>
                <c:pt idx="167" formatCode="0.00">
                  <c:v>1.0603050031730794E-2</c:v>
                </c:pt>
                <c:pt idx="168" formatCode="0.00">
                  <c:v>1.0553160085790396E-2</c:v>
                </c:pt>
                <c:pt idx="169" formatCode="0.00">
                  <c:v>1.0503572028590809E-2</c:v>
                </c:pt>
                <c:pt idx="170" formatCode="0.00">
                  <c:v>1.0454286387988657E-2</c:v>
                </c:pt>
                <c:pt idx="171" formatCode="0.00">
                  <c:v>1.0405303576022606E-2</c:v>
                </c:pt>
                <c:pt idx="172" formatCode="0.00">
                  <c:v>1.0356623893532436E-2</c:v>
                </c:pt>
                <c:pt idx="173" formatCode="0.00">
                  <c:v>1.0308247534627604E-2</c:v>
                </c:pt>
                <c:pt idx="174" formatCode="0.00">
                  <c:v>1.0260174591009837E-2</c:v>
                </c:pt>
                <c:pt idx="175" formatCode="0.00">
                  <c:v>1.0212405056154198E-2</c:v>
                </c:pt>
                <c:pt idx="176" formatCode="0.00">
                  <c:v>1.0164938829352928E-2</c:v>
                </c:pt>
                <c:pt idx="177" formatCode="0.00">
                  <c:v>1.011777571962626E-2</c:v>
                </c:pt>
                <c:pt idx="178" formatCode="0.00">
                  <c:v>1.0070915449504204E-2</c:v>
                </c:pt>
                <c:pt idx="179" formatCode="0.00">
                  <c:v>1.0024357658683324E-2</c:v>
                </c:pt>
                <c:pt idx="180" formatCode="0.00">
                  <c:v>9.978101907562242E-3</c:v>
                </c:pt>
                <c:pt idx="181" formatCode="0.00">
                  <c:v>9.9321476806596264E-3</c:v>
                </c:pt>
                <c:pt idx="182" formatCode="0.00">
                  <c:v>9.8864943899182722E-3</c:v>
                </c:pt>
                <c:pt idx="183" formatCode="0.00">
                  <c:v>9.8411413778987031E-3</c:v>
                </c:pt>
                <c:pt idx="184" formatCode="0.00">
                  <c:v>9.7960879208657606E-3</c:v>
                </c:pt>
                <c:pt idx="185" formatCode="0.00">
                  <c:v>9.7513332317714016E-3</c:v>
                </c:pt>
                <c:pt idx="186" formatCode="0.00">
                  <c:v>9.7068764631369625E-3</c:v>
                </c:pt>
                <c:pt idx="187" formatCode="0.00">
                  <c:v>9.662716709837909E-3</c:v>
                </c:pt>
                <c:pt idx="188" formatCode="0.00">
                  <c:v>9.6188530117941543E-3</c:v>
                </c:pt>
                <c:pt idx="189" formatCode="0.00">
                  <c:v>9.5752843565688125E-3</c:v>
                </c:pt>
                <c:pt idx="190" formatCode="0.00">
                  <c:v>9.5320096818782337E-3</c:v>
                </c:pt>
                <c:pt idx="191" formatCode="0.00">
                  <c:v>9.4890278780160649E-3</c:v>
                </c:pt>
                <c:pt idx="192" formatCode="0.00">
                  <c:v>9.4463377901940048E-3</c:v>
                </c:pt>
                <c:pt idx="193" formatCode="0.00">
                  <c:v>9.4039382208018288E-3</c:v>
                </c:pt>
                <c:pt idx="194" formatCode="0.00">
                  <c:v>9.3618279315892169E-3</c:v>
                </c:pt>
                <c:pt idx="195" formatCode="0.00">
                  <c:v>9.3200056457717773E-3</c:v>
                </c:pt>
                <c:pt idx="196" formatCode="0.00">
                  <c:v>9.2784700500636742E-3</c:v>
                </c:pt>
                <c:pt idx="197" formatCode="0.00">
                  <c:v>9.237219796639112E-3</c:v>
                </c:pt>
                <c:pt idx="198" formatCode="0.00">
                  <c:v>9.1962535050249365E-3</c:v>
                </c:pt>
                <c:pt idx="199" formatCode="0.00">
                  <c:v>9.1555697639264712E-3</c:v>
                </c:pt>
                <c:pt idx="200" formatCode="0.00">
                  <c:v>9.1151671329887073E-3</c:v>
                </c:pt>
                <c:pt idx="201" formatCode="0.00">
                  <c:v>9.0750441444948805E-3</c:v>
                </c:pt>
                <c:pt idx="202" formatCode="0.00">
                  <c:v>9.0351993050043784E-3</c:v>
                </c:pt>
                <c:pt idx="203" formatCode="0.00">
                  <c:v>8.9956310969319178E-3</c:v>
                </c:pt>
                <c:pt idx="204" formatCode="0.00">
                  <c:v>8.956337980069836E-3</c:v>
                </c:pt>
                <c:pt idx="205" formatCode="0.00">
                  <c:v>8.917318393055278E-3</c:v>
                </c:pt>
                <c:pt idx="206" formatCode="0.00">
                  <c:v>8.8785707547840379E-3</c:v>
                </c:pt>
                <c:pt idx="207" formatCode="0.00">
                  <c:v>8.8400934657727765E-3</c:v>
                </c:pt>
                <c:pt idx="208" formatCode="0.00">
                  <c:v>8.8018849094711783E-3</c:v>
                </c:pt>
                <c:pt idx="209" formatCode="0.00">
                  <c:v>8.7639434535257254E-3</c:v>
                </c:pt>
                <c:pt idx="210" formatCode="0.00">
                  <c:v>8.7262674509965745E-3</c:v>
                </c:pt>
                <c:pt idx="211" formatCode="0.00">
                  <c:v>8.688855241529056E-3</c:v>
                </c:pt>
                <c:pt idx="212" formatCode="0.00">
                  <c:v>8.6517051524812559E-3</c:v>
                </c:pt>
                <c:pt idx="213" formatCode="0.00">
                  <c:v>8.6148155000090633E-3</c:v>
                </c:pt>
                <c:pt idx="214" formatCode="0.00">
                  <c:v>8.578184590110078E-3</c:v>
                </c:pt>
                <c:pt idx="215" formatCode="0.00">
                  <c:v>8.5418107196276825E-3</c:v>
                </c:pt>
                <c:pt idx="216" formatCode="0.00">
                  <c:v>8.5056921772165735E-3</c:v>
                </c:pt>
                <c:pt idx="217" formatCode="0.00">
                  <c:v>8.4698272442709933E-3</c:v>
                </c:pt>
                <c:pt idx="218" formatCode="0.00">
                  <c:v>8.4342141958168772E-3</c:v>
                </c:pt>
                <c:pt idx="219" formatCode="0.00">
                  <c:v>8.3988513013690796E-3</c:v>
                </c:pt>
                <c:pt idx="220" formatCode="0.00">
                  <c:v>8.3637368257548153E-3</c:v>
                </c:pt>
                <c:pt idx="221" formatCode="0.00">
                  <c:v>8.3288690299044271E-3</c:v>
                </c:pt>
                <c:pt idx="222" formatCode="0.00">
                  <c:v>8.294246171610533E-3</c:v>
                </c:pt>
                <c:pt idx="223" formatCode="0.00">
                  <c:v>8.2598665062566107E-3</c:v>
                </c:pt>
                <c:pt idx="224" formatCode="0.00">
                  <c:v>8.2257282875159952E-3</c:v>
                </c:pt>
                <c:pt idx="225" formatCode="0.00">
                  <c:v>8.1918297680222789E-3</c:v>
                </c:pt>
                <c:pt idx="226" formatCode="0.00">
                  <c:v>8.158169200012064E-3</c:v>
                </c:pt>
                <c:pt idx="227" formatCode="0.00">
                  <c:v>8.1247448359409724E-3</c:v>
                </c:pt>
                <c:pt idx="228" formatCode="0.00">
                  <c:v>8.0915549290737805E-3</c:v>
                </c:pt>
                <c:pt idx="229" formatCode="0.00">
                  <c:v>8.0585977340496013E-3</c:v>
                </c:pt>
                <c:pt idx="230" formatCode="0.00">
                  <c:v>8.0258715074228576E-3</c:v>
                </c:pt>
                <c:pt idx="231" formatCode="0.00">
                  <c:v>7.9933745081809393E-3</c:v>
                </c:pt>
                <c:pt idx="232" formatCode="0.00">
                  <c:v>7.9611049982392639E-3</c:v>
                </c:pt>
                <c:pt idx="233" formatCode="0.00">
                  <c:v>7.9290612429145438E-3</c:v>
                </c:pt>
                <c:pt idx="234" formatCode="0.00">
                  <c:v>7.8972415113769592E-3</c:v>
                </c:pt>
                <c:pt idx="235" formatCode="0.00">
                  <c:v>7.8656440770819794E-3</c:v>
                </c:pt>
                <c:pt idx="236" formatCode="0.00">
                  <c:v>7.8342672181825109E-3</c:v>
                </c:pt>
                <c:pt idx="237" formatCode="0.00">
                  <c:v>7.8031092179220258E-3</c:v>
                </c:pt>
                <c:pt idx="238" formatCode="0.00">
                  <c:v>7.772168365009352E-3</c:v>
                </c:pt>
                <c:pt idx="239" formatCode="0.00">
                  <c:v>7.7414429539757268E-3</c:v>
                </c:pt>
                <c:pt idx="240" formatCode="0.00">
                  <c:v>7.7109312855147393E-3</c:v>
                </c:pt>
                <c:pt idx="241" formatCode="0.00">
                  <c:v>7.6806316668057255E-3</c:v>
                </c:pt>
                <c:pt idx="242" formatCode="0.00">
                  <c:v>7.6505424118212349E-3</c:v>
                </c:pt>
                <c:pt idx="243" formatCode="0.00">
                  <c:v>7.6206618416190678E-3</c:v>
                </c:pt>
                <c:pt idx="244" formatCode="0.00">
                  <c:v>7.5909882846194633E-3</c:v>
                </c:pt>
                <c:pt idx="245" formatCode="0.00">
                  <c:v>7.5615200768679334E-3</c:v>
                </c:pt>
                <c:pt idx="246" formatCode="0.00">
                  <c:v>7.5322555622842442E-3</c:v>
                </c:pt>
                <c:pt idx="247" formatCode="0.00">
                  <c:v>7.5031930928980677E-3</c:v>
                </c:pt>
                <c:pt idx="248" formatCode="0.00">
                  <c:v>7.474331029071718E-3</c:v>
                </c:pt>
                <c:pt idx="249" formatCode="0.00">
                  <c:v>7.4456677397104817E-3</c:v>
                </c:pt>
                <c:pt idx="250" formatCode="0.00">
                  <c:v>7.4172016024609665E-3</c:v>
                </c:pt>
                <c:pt idx="251" formatCode="0.00">
                  <c:v>7.3889310038978756E-3</c:v>
                </c:pt>
                <c:pt idx="252" formatCode="0.00">
                  <c:v>7.360854339699666E-3</c:v>
                </c:pt>
                <c:pt idx="253" formatCode="0.0%">
                  <c:v>7.3329700148134606E-3</c:v>
                </c:pt>
                <c:pt idx="254" formatCode="0.0%">
                  <c:v>7.3052764436096155E-3</c:v>
                </c:pt>
                <c:pt idx="255" formatCode="0.0%">
                  <c:v>7.2777720500263078E-3</c:v>
                </c:pt>
                <c:pt idx="256" formatCode="0.0%">
                  <c:v>7.2504552677045385E-3</c:v>
                </c:pt>
                <c:pt idx="257" formatCode="0.0%">
                  <c:v>7.2233245401138691E-3</c:v>
                </c:pt>
                <c:pt idx="258" formatCode="0.0%">
                  <c:v>7.1963783206692514E-3</c:v>
                </c:pt>
                <c:pt idx="259" formatCode="0.0%">
                  <c:v>7.1696150728392926E-3</c:v>
                </c:pt>
                <c:pt idx="260" formatCode="0.0%">
                  <c:v>7.1430332702462386E-3</c:v>
                </c:pt>
                <c:pt idx="261" formatCode="0.0%">
                  <c:v>7.1166313967580414E-3</c:v>
                </c:pt>
                <c:pt idx="262" formatCode="0.0%">
                  <c:v>7.0904079465727637E-3</c:v>
                </c:pt>
                <c:pt idx="263" formatCode="0.0%">
                  <c:v>7.0643614242956124E-3</c:v>
                </c:pt>
                <c:pt idx="264" formatCode="0.0%">
                  <c:v>7.0384903450089421E-3</c:v>
                </c:pt>
                <c:pt idx="265" formatCode="0.0%">
                  <c:v>7.0127932343354103E-3</c:v>
                </c:pt>
                <c:pt idx="266" formatCode="0.0%">
                  <c:v>6.9872686284946266E-3</c:v>
                </c:pt>
                <c:pt idx="267" formatCode="0.0%">
                  <c:v>6.9619150743534973E-3</c:v>
                </c:pt>
                <c:pt idx="268" formatCode="0.0%">
                  <c:v>6.9367311294705443E-3</c:v>
                </c:pt>
                <c:pt idx="269" formatCode="0.0%">
                  <c:v>6.9117153621344254E-3</c:v>
                </c:pt>
                <c:pt idx="270" formatCode="0.0%">
                  <c:v>6.8868663513968779E-3</c:v>
                </c:pt>
                <c:pt idx="271" formatCode="0.0%">
                  <c:v>6.8621826871003294E-3</c:v>
                </c:pt>
                <c:pt idx="272" formatCode="0.0%">
                  <c:v>6.8376629699003575E-3</c:v>
                </c:pt>
                <c:pt idx="273" formatCode="0.0%">
                  <c:v>6.8133058112832641E-3</c:v>
                </c:pt>
                <c:pt idx="274" formatCode="0.0%">
                  <c:v>6.7891098335788906E-3</c:v>
                </c:pt>
                <c:pt idx="275" formatCode="0.0%">
                  <c:v>6.765073669968937E-3</c:v>
                </c:pt>
                <c:pt idx="276" formatCode="0.0%">
                  <c:v>6.74119596449093E-3</c:v>
                </c:pt>
                <c:pt idx="277" formatCode="0.0%">
                  <c:v>6.717475372038058E-3</c:v>
                </c:pt>
                <c:pt idx="278" formatCode="0.0%">
                  <c:v>6.6939105583549924E-3</c:v>
                </c:pt>
                <c:pt idx="279" formatCode="0.0%">
                  <c:v>6.6705002000299433E-3</c:v>
                </c:pt>
                <c:pt idx="280" formatCode="0.0%">
                  <c:v>6.6472429844830396E-3</c:v>
                </c:pt>
                <c:pt idx="281" formatCode="0.0%">
                  <c:v>6.6241376099512523E-3</c:v>
                </c:pt>
                <c:pt idx="282" formatCode="0.0%">
                  <c:v>6.6011827854699614E-3</c:v>
                </c:pt>
                <c:pt idx="283" formatCode="0.0%">
                  <c:v>6.5783772308513665E-3</c:v>
                </c:pt>
                <c:pt idx="284" formatCode="0.0%">
                  <c:v>6.5557196766598399E-3</c:v>
                </c:pt>
                <c:pt idx="285" formatCode="0.0%">
                  <c:v>6.5332088641843981E-3</c:v>
                </c:pt>
                <c:pt idx="286" formatCode="0.0%">
                  <c:v>6.5108435454083822E-3</c:v>
                </c:pt>
                <c:pt idx="287" formatCode="0.0%">
                  <c:v>6.4886224829765315E-3</c:v>
                </c:pt>
                <c:pt idx="288" formatCode="0.0%">
                  <c:v>6.4665444501595271E-3</c:v>
                </c:pt>
                <c:pt idx="289" formatCode="0.0%">
                  <c:v>6.4446082308161415E-3</c:v>
                </c:pt>
                <c:pt idx="290" formatCode="0.0%">
                  <c:v>6.4228126193531295E-3</c:v>
                </c:pt>
                <c:pt idx="291" formatCode="0.0%">
                  <c:v>6.401156420682938E-3</c:v>
                </c:pt>
                <c:pt idx="292" formatCode="0.0%">
                  <c:v>6.3796384501793721E-3</c:v>
                </c:pt>
                <c:pt idx="293" formatCode="0.0%">
                  <c:v>6.358257533631311E-3</c:v>
                </c:pt>
                <c:pt idx="294" formatCode="0.0%">
                  <c:v>6.3370125071945662E-3</c:v>
                </c:pt>
                <c:pt idx="295" formatCode="0.0%">
                  <c:v>6.3159022173420003E-3</c:v>
                </c:pt>
                <c:pt idx="296" formatCode="0.0%">
                  <c:v>6.2949255208119698E-3</c:v>
                </c:pt>
                <c:pt idx="297" formatCode="0.0%">
                  <c:v>6.2740812845552239E-3</c:v>
                </c:pt>
                <c:pt idx="298" formatCode="0.0%">
                  <c:v>6.2533683856802998E-3</c:v>
                </c:pt>
                <c:pt idx="299" formatCode="0.0%">
                  <c:v>6.2327857113975366E-3</c:v>
                </c:pt>
                <c:pt idx="300" formatCode="0.0%">
                  <c:v>6.2123321589617692E-3</c:v>
                </c:pt>
                <c:pt idx="301" formatCode="0.0%">
                  <c:v>6.192006635613782E-3</c:v>
                </c:pt>
                <c:pt idx="302" formatCode="0.0%">
                  <c:v>6.171808058520605E-3</c:v>
                </c:pt>
                <c:pt idx="303" formatCode="0.0%">
                  <c:v>6.1517353547147222E-3</c:v>
                </c:pt>
                <c:pt idx="304" formatCode="0.0%">
                  <c:v>6.1317874610322563E-3</c:v>
                </c:pt>
                <c:pt idx="305" formatCode="0.0%">
                  <c:v>6.111963324050204E-3</c:v>
                </c:pt>
                <c:pt idx="306" formatCode="0.0%">
                  <c:v>6.0922619000227827E-3</c:v>
                </c:pt>
                <c:pt idx="307" formatCode="0.0%">
                  <c:v>6.0726821548169555E-3</c:v>
                </c:pt>
                <c:pt idx="308" formatCode="0.0%">
                  <c:v>6.0532230638471853E-3</c:v>
                </c:pt>
                <c:pt idx="309" formatCode="0.0%">
                  <c:v>6.0338836120094998E-3</c:v>
                </c:pt>
                <c:pt idx="310" formatCode="0.0%">
                  <c:v>6.014662793614874E-3</c:v>
                </c:pt>
                <c:pt idx="311" formatCode="0.0%">
                  <c:v>5.9955596123220474E-3</c:v>
                </c:pt>
                <c:pt idx="312" formatCode="0.0%">
                  <c:v>5.9765730810697783E-3</c:v>
                </c:pt>
                <c:pt idx="313" formatCode="0.0%">
                  <c:v>5.9577022220086038E-3</c:v>
                </c:pt>
                <c:pt idx="314" formatCode="0.0%">
                  <c:v>5.9389460664321493E-3</c:v>
                </c:pt>
                <c:pt idx="315" formatCode="0.0%">
                  <c:v>5.920303654708043E-3</c:v>
                </c:pt>
                <c:pt idx="316" formatCode="0.0%">
                  <c:v>5.9017740362084662E-3</c:v>
                </c:pt>
                <c:pt idx="317" formatCode="0.0%">
                  <c:v>5.8833562692403776E-3</c:v>
                </c:pt>
                <c:pt idx="318" formatCode="0.0%">
                  <c:v>5.8650494209754808E-3</c:v>
                </c:pt>
                <c:pt idx="319" formatCode="0.0%">
                  <c:v>5.8468525673799334E-3</c:v>
                </c:pt>
                <c:pt idx="320" formatCode="0.0%">
                  <c:v>5.8287647931438702E-3</c:v>
                </c:pt>
                <c:pt idx="321" formatCode="0.0%">
                  <c:v>5.8107851916107574E-3</c:v>
                </c:pt>
                <c:pt idx="322" formatCode="0.0%">
                  <c:v>5.7929128647066144E-3</c:v>
                </c:pt>
                <c:pt idx="323" formatCode="0.0%">
                  <c:v>5.7751469228691423E-3</c:v>
                </c:pt>
                <c:pt idx="324" formatCode="0.0%">
                  <c:v>5.757486484976781E-3</c:v>
                </c:pt>
                <c:pt idx="325" formatCode="0.0%">
                  <c:v>5.7399306782777377E-3</c:v>
                </c:pt>
                <c:pt idx="326" formatCode="0.0%">
                  <c:v>5.7224786383190058E-3</c:v>
                </c:pt>
                <c:pt idx="327" formatCode="0.0%">
                  <c:v>5.7051295088754042E-3</c:v>
                </c:pt>
                <c:pt idx="328" formatCode="0.0%">
                  <c:v>5.6878824418786647E-3</c:v>
                </c:pt>
                <c:pt idx="329" formatCode="0.0%">
                  <c:v>5.6707365973465932E-3</c:v>
                </c:pt>
                <c:pt idx="330" formatCode="0.0%">
                  <c:v>5.653691143312327E-3</c:v>
                </c:pt>
                <c:pt idx="331" formatCode="0.0%">
                  <c:v>5.6367452557537188E-3</c:v>
                </c:pt>
                <c:pt idx="332" formatCode="0.00">
                  <c:v>5.6198981185228468E-3</c:v>
                </c:pt>
                <c:pt idx="333" formatCode="0.00">
                  <c:v>5.6031489232757107E-3</c:v>
                </c:pt>
                <c:pt idx="334" formatCode="0.00">
                  <c:v>5.5864968694020961E-3</c:v>
                </c:pt>
                <c:pt idx="335" formatCode="0.00">
                  <c:v>5.5699411639556443E-3</c:v>
                </c:pt>
                <c:pt idx="336" formatCode="0.00">
                  <c:v>5.5534810215841493E-3</c:v>
                </c:pt>
                <c:pt idx="337" formatCode="0.00">
                  <c:v>5.5371156644600872E-3</c:v>
                </c:pt>
                <c:pt idx="338" formatCode="0.00">
                  <c:v>5.5208443222114038E-3</c:v>
                </c:pt>
                <c:pt idx="339" formatCode="0.00">
                  <c:v>5.5046662318525745E-3</c:v>
                </c:pt>
                <c:pt idx="340" formatCode="0.00">
                  <c:v>5.4885806377159467E-3</c:v>
                </c:pt>
                <c:pt idx="341" formatCode="0.00">
                  <c:v>5.4725867913833839E-3</c:v>
                </c:pt>
                <c:pt idx="342" formatCode="0.00">
                  <c:v>5.4566839516182282E-3</c:v>
                </c:pt>
                <c:pt idx="343" formatCode="0.00">
                  <c:v>5.4408713842975798E-3</c:v>
                </c:pt>
                <c:pt idx="344" formatCode="0.00">
                  <c:v>5.4251483623449252E-3</c:v>
                </c:pt>
                <c:pt idx="345" formatCode="0.00">
                  <c:v>5.4095141656631115E-3</c:v>
                </c:pt>
                <c:pt idx="346" formatCode="0.00">
                  <c:v>5.3939680810676741E-3</c:v>
                </c:pt>
                <c:pt idx="347" formatCode="0.00">
                  <c:v>5.3785094022205486E-3</c:v>
                </c:pt>
                <c:pt idx="348" formatCode="0.00">
                  <c:v>5.3631374295641581E-3</c:v>
                </c:pt>
                <c:pt idx="349" formatCode="0.00">
                  <c:v>5.3478514702558835E-3</c:v>
                </c:pt>
                <c:pt idx="350" formatCode="0.00">
                  <c:v>5.3326508381029425E-3</c:v>
                </c:pt>
                <c:pt idx="351" formatCode="0.00">
                  <c:v>5.3175348534976732E-3</c:v>
                </c:pt>
                <c:pt idx="352" formatCode="0.00">
                  <c:v>5.3025028433532186E-3</c:v>
                </c:pt>
                <c:pt idx="353" formatCode="0.00">
                  <c:v>5.2875541410396494E-3</c:v>
                </c:pt>
                <c:pt idx="354" formatCode="0.00">
                  <c:v>5.2726880863205056E-3</c:v>
                </c:pt>
                <c:pt idx="355" formatCode="0.00">
                  <c:v>5.257904025289771E-3</c:v>
                </c:pt>
                <c:pt idx="356" formatCode="0.00">
                  <c:v>5.2432013103092838E-3</c:v>
                </c:pt>
                <c:pt idx="357" formatCode="0.00">
                  <c:v>5.2285792999466002E-3</c:v>
                </c:pt>
                <c:pt idx="358" formatCode="0.00">
                  <c:v>5.2140373589132979E-3</c:v>
                </c:pt>
                <c:pt idx="359" formatCode="0.00">
                  <c:v>5.199574858003742E-3</c:v>
                </c:pt>
                <c:pt idx="360" formatCode="0.00">
                  <c:v>5.1851911740342926E-3</c:v>
                </c:pt>
                <c:pt idx="361" formatCode="0.00">
                  <c:v>5.1708856897829947E-3</c:v>
                </c:pt>
                <c:pt idx="362" formatCode="0.00">
                  <c:v>5.1566577939297113E-3</c:v>
                </c:pt>
                <c:pt idx="363" formatCode="0.00">
                  <c:v>5.1425068809967433E-3</c:v>
                </c:pt>
                <c:pt idx="364" formatCode="0.00">
                  <c:v>5.1284323512898996E-3</c:v>
                </c:pt>
                <c:pt idx="365" formatCode="0.00">
                  <c:v>5.114433610840058E-3</c:v>
                </c:pt>
                <c:pt idx="366" formatCode="0.00">
                  <c:v>5.1005100713451892E-3</c:v>
                </c:pt>
                <c:pt idx="367" formatCode="0.00">
                  <c:v>5.0866611501128563E-3</c:v>
                </c:pt>
                <c:pt idx="368" formatCode="0.00">
                  <c:v>5.0728862700032025E-3</c:v>
                </c:pt>
                <c:pt idx="369" formatCode="0.00">
                  <c:v>5.0591848593724096E-3</c:v>
                </c:pt>
                <c:pt idx="370" formatCode="0.00">
                  <c:v>5.0455563520166351E-3</c:v>
                </c:pt>
                <c:pt idx="371" formatCode="0.00">
                  <c:v>5.0320001871164361E-3</c:v>
                </c:pt>
                <c:pt idx="372" formatCode="0.00">
                  <c:v>5.0185158091816725E-3</c:v>
                </c:pt>
                <c:pt idx="373" formatCode="0.00">
                  <c:v>5.0051026679968878E-3</c:v>
                </c:pt>
                <c:pt idx="374" formatCode="0.00">
                  <c:v>4.991760218567183E-3</c:v>
                </c:pt>
                <c:pt idx="375" formatCode="0.00">
                  <c:v>4.978487921064559E-3</c:v>
                </c:pt>
                <c:pt idx="376" formatCode="0.00">
                  <c:v>4.9652852407747463E-3</c:v>
                </c:pt>
                <c:pt idx="377" formatCode="0.00">
                  <c:v>4.9521516480445183E-3</c:v>
                </c:pt>
                <c:pt idx="378" formatCode="0.00">
                  <c:v>4.9390866182294864E-3</c:v>
                </c:pt>
                <c:pt idx="379" formatCode="0.00">
                  <c:v>4.9260896316423658E-3</c:v>
                </c:pt>
                <c:pt idx="380" formatCode="0.00">
                  <c:v>4.9131601735017284E-3</c:v>
                </c:pt>
                <c:pt idx="381" formatCode="0.00">
                  <c:v>4.9002977338812349E-3</c:v>
                </c:pt>
                <c:pt idx="382" formatCode="0.00">
                  <c:v>4.8875018076593351E-3</c:v>
                </c:pt>
                <c:pt idx="383" formatCode="0.00">
                  <c:v>4.8747718944694473E-3</c:v>
                </c:pt>
                <c:pt idx="384" formatCode="0.00">
                  <c:v>4.8621074986506148E-3</c:v>
                </c:pt>
                <c:pt idx="385" formatCode="0.00">
                  <c:v>4.8495081291986351E-3</c:v>
                </c:pt>
                <c:pt idx="386" formatCode="0.00">
                  <c:v>4.8369732997176488E-3</c:v>
                </c:pt>
                <c:pt idx="387" formatCode="0.00">
                  <c:v>4.8245025283722076E-3</c:v>
                </c:pt>
                <c:pt idx="388" formatCode="0.00">
                  <c:v>4.8120953378398088E-3</c:v>
                </c:pt>
                <c:pt idx="389" formatCode="0.00">
                  <c:v>4.7997512552638835E-3</c:v>
                </c:pt>
                <c:pt idx="390" formatCode="0.00">
                  <c:v>4.7874698122072632E-3</c:v>
                </c:pt>
                <c:pt idx="391" formatCode="0.00">
                  <c:v>4.7752505446060876E-3</c:v>
                </c:pt>
                <c:pt idx="392" formatCode="0.00">
                  <c:v>4.7630929927241902E-3</c:v>
                </c:pt>
                <c:pt idx="393" formatCode="0.00">
                  <c:v>4.7509967011079195E-3</c:v>
                </c:pt>
                <c:pt idx="394" formatCode="0.00">
                  <c:v>4.7389612185414322E-3</c:v>
                </c:pt>
                <c:pt idx="395" formatCode="0.00">
                  <c:v>4.7269860980024142E-3</c:v>
                </c:pt>
                <c:pt idx="396" formatCode="0.00">
                  <c:v>4.7150708966182727E-3</c:v>
                </c:pt>
                <c:pt idx="397" formatCode="0.00">
                  <c:v>4.7032151756227552E-3</c:v>
                </c:pt>
                <c:pt idx="398" formatCode="0.00">
                  <c:v>4.6914185003130195E-3</c:v>
                </c:pt>
                <c:pt idx="399" formatCode="0.00">
                  <c:v>4.6796804400071413E-3</c:v>
                </c:pt>
                <c:pt idx="400" formatCode="0.00">
                  <c:v>4.6680005680020528E-3</c:v>
                </c:pt>
                <c:pt idx="401" formatCode="0.00">
                  <c:v>4.6563784615319221E-3</c:v>
                </c:pt>
                <c:pt idx="402" formatCode="0.00">
                  <c:v>4.6448137017269606E-3</c:v>
                </c:pt>
                <c:pt idx="403" formatCode="0.00">
                  <c:v>4.6333058735726559E-3</c:v>
                </c:pt>
                <c:pt idx="404" formatCode="0.00">
                  <c:v>4.621854565869425E-3</c:v>
                </c:pt>
                <c:pt idx="405" formatCode="0.00">
                  <c:v>4.610459371192705E-3</c:v>
                </c:pt>
                <c:pt idx="406" formatCode="0.00">
                  <c:v>4.5991198858534345E-3</c:v>
                </c:pt>
                <c:pt idx="407" formatCode="0.00">
                  <c:v>4.5878357098589825E-3</c:v>
                </c:pt>
                <c:pt idx="408" formatCode="0.00">
                  <c:v>4.5766064468744571E-3</c:v>
                </c:pt>
                <c:pt idx="409" formatCode="0.00">
                  <c:v>4.5654317041844495E-3</c:v>
                </c:pt>
                <c:pt idx="410" formatCode="0.00">
                  <c:v>4.5543110926551606E-3</c:v>
                </c:pt>
                <c:pt idx="411" formatCode="0.00">
                  <c:v>4.5432442266969495E-3</c:v>
                </c:pt>
                <c:pt idx="412" formatCode="0.00">
                  <c:v>4.5322307242272666E-3</c:v>
                </c:pt>
                <c:pt idx="413" formatCode="0.00">
                  <c:v>4.5212702066339825E-3</c:v>
                </c:pt>
                <c:pt idx="414" formatCode="0.00">
                  <c:v>4.510362298739125E-3</c:v>
                </c:pt>
                <c:pt idx="415" formatCode="0.00">
                  <c:v>4.4995066287629787E-3</c:v>
                </c:pt>
                <c:pt idx="416" formatCode="0.00">
                  <c:v>4.4887028282885929E-3</c:v>
                </c:pt>
                <c:pt idx="417" formatCode="0.00">
                  <c:v>4.4779505322266634E-3</c:v>
                </c:pt>
                <c:pt idx="418" formatCode="0.00">
                  <c:v>4.4672493787807823E-3</c:v>
                </c:pt>
                <c:pt idx="419" formatCode="0.00">
                  <c:v>4.4565990094130844E-3</c:v>
                </c:pt>
                <c:pt idx="420" formatCode="0.00">
                  <c:v>4.4459990688102457E-3</c:v>
                </c:pt>
                <c:pt idx="421" formatCode="0.00">
                  <c:v>4.4354492048498621E-3</c:v>
                </c:pt>
                <c:pt idx="422" formatCode="0.00">
                  <c:v>4.4249490685671919E-3</c:v>
                </c:pt>
                <c:pt idx="423" formatCode="0.00">
                  <c:v>4.4144983141222493E-3</c:v>
                </c:pt>
                <c:pt idx="424" formatCode="0.00">
                  <c:v>4.4040965987672751E-3</c:v>
                </c:pt>
                <c:pt idx="425" formatCode="0.00">
                  <c:v>4.3937435828145452E-3</c:v>
                </c:pt>
                <c:pt idx="426" formatCode="0.00">
                  <c:v>4.3834389296045417E-3</c:v>
                </c:pt>
                <c:pt idx="427" formatCode="0.00">
                  <c:v>4.3731823054744632E-3</c:v>
                </c:pt>
                <c:pt idx="428" formatCode="0.00">
                  <c:v>4.3629733797270944E-3</c:v>
                </c:pt>
                <c:pt idx="429" formatCode="0.00">
                  <c:v>4.3528118245999958E-3</c:v>
                </c:pt>
                <c:pt idx="430" formatCode="0.00">
                  <c:v>4.3426973152350563E-3</c:v>
                </c:pt>
                <c:pt idx="431" formatCode="0.00">
                  <c:v>4.3326295296483592E-3</c:v>
                </c:pt>
                <c:pt idx="432" formatCode="0.00">
                  <c:v>4.3226081487003961E-3</c:v>
                </c:pt>
                <c:pt idx="433" formatCode="0.00">
                  <c:v>4.3126328560665964E-3</c:v>
                </c:pt>
                <c:pt idx="434" formatCode="0.00">
                  <c:v>4.3027033382081912E-3</c:v>
                </c:pt>
                <c:pt idx="435" formatCode="0.00">
                  <c:v>4.2928192843433976E-3</c:v>
                </c:pt>
                <c:pt idx="436" formatCode="0.00">
                  <c:v>4.282980386418913E-3</c:v>
                </c:pt>
                <c:pt idx="437" formatCode="0.00">
                  <c:v>4.2731863390817418E-3</c:v>
                </c:pt>
                <c:pt idx="438" formatCode="0.00">
                  <c:v>4.2634368396513101E-3</c:v>
                </c:pt>
                <c:pt idx="439" formatCode="0.00">
                  <c:v>4.2537315880919165E-3</c:v>
                </c:pt>
                <c:pt idx="440" formatCode="0.00">
                  <c:v>4.2440702869854649E-3</c:v>
                </c:pt>
                <c:pt idx="441" formatCode="0.00">
                  <c:v>4.2344526415045193E-3</c:v>
                </c:pt>
                <c:pt idx="442" formatCode="0.00">
                  <c:v>4.2248783593856372E-3</c:v>
                </c:pt>
                <c:pt idx="443" formatCode="0.00">
                  <c:v>4.2153471509030231E-3</c:v>
                </c:pt>
                <c:pt idx="444" formatCode="0.00">
                  <c:v>4.2058587288424558E-3</c:v>
                </c:pt>
                <c:pt idx="445" formatCode="0.00">
                  <c:v>4.1964128084755114E-3</c:v>
                </c:pt>
                <c:pt idx="446" formatCode="0.00">
                  <c:v>4.1870091075340799E-3</c:v>
                </c:pt>
                <c:pt idx="447" formatCode="0.00">
                  <c:v>4.1776473461851591E-3</c:v>
                </c:pt>
                <c:pt idx="448" formatCode="0.00">
                  <c:v>4.1683272470059264E-3</c:v>
                </c:pt>
                <c:pt idx="449" formatCode="0.00">
                  <c:v>4.1590485349590998E-3</c:v>
                </c:pt>
                <c:pt idx="450" formatCode="0.00">
                  <c:v>4.1498109373685581E-3</c:v>
                </c:pt>
                <c:pt idx="451" formatCode="0.00">
                  <c:v>4.140614183895254E-3</c:v>
                </c:pt>
                <c:pt idx="452" formatCode="0.00">
                  <c:v>4.1314580065133673E-3</c:v>
                </c:pt>
                <c:pt idx="453" formatCode="0.00">
                  <c:v>4.1223421394867565E-3</c:v>
                </c:pt>
                <c:pt idx="454" formatCode="0.00">
                  <c:v>4.1132663193456497E-3</c:v>
                </c:pt>
                <c:pt idx="455" formatCode="0.00">
                  <c:v>4.1042302848636027E-3</c:v>
                </c:pt>
                <c:pt idx="456" formatCode="0.00">
                  <c:v>4.0952337770347189E-3</c:v>
                </c:pt>
                <c:pt idx="457" formatCode="0.00">
                  <c:v>4.0862765390511178E-3</c:v>
                </c:pt>
                <c:pt idx="458" formatCode="0.00">
                  <c:v>4.0773583162806611E-3</c:v>
                </c:pt>
                <c:pt idx="459" formatCode="0.00">
                  <c:v>4.0684788562449191E-3</c:v>
                </c:pt>
                <c:pt idx="460" formatCode="0.00">
                  <c:v>4.0596379085973931E-3</c:v>
                </c:pt>
                <c:pt idx="461" formatCode="0.00">
                  <c:v>4.0508352251019744E-3</c:v>
                </c:pt>
                <c:pt idx="462" formatCode="0.00">
                  <c:v>4.0420705596116487E-3</c:v>
                </c:pt>
                <c:pt idx="463" formatCode="0.00">
                  <c:v>4.0333436680474299E-3</c:v>
                </c:pt>
                <c:pt idx="464" formatCode="0.00">
                  <c:v>4.024654308377543E-3</c:v>
                </c:pt>
                <c:pt idx="465" formatCode="0.00">
                  <c:v>4.0160022405968283E-3</c:v>
                </c:pt>
                <c:pt idx="466" formatCode="0.00">
                  <c:v>4.0073872267063788E-3</c:v>
                </c:pt>
                <c:pt idx="467" formatCode="0.00">
                  <c:v>3.9988090306934078E-3</c:v>
                </c:pt>
                <c:pt idx="468" formatCode="0.00">
                  <c:v>3.990267418511338E-3</c:v>
                </c:pt>
                <c:pt idx="469" formatCode="0.00">
                  <c:v>3.9817621580601151E-3</c:v>
                </c:pt>
                <c:pt idx="470" formatCode="0.00">
                  <c:v>3.9732930191667395E-3</c:v>
                </c:pt>
                <c:pt idx="471" formatCode="0.00">
                  <c:v>3.9648597735660205E-3</c:v>
                </c:pt>
                <c:pt idx="472" formatCode="0.00">
                  <c:v>3.9564621948815319E-3</c:v>
                </c:pt>
                <c:pt idx="473" formatCode="0.00">
                  <c:v>3.9481000586068004E-3</c:v>
                </c:pt>
                <c:pt idx="474" formatCode="0.00">
                  <c:v>3.9397731420866833E-3</c:v>
                </c:pt>
                <c:pt idx="475" formatCode="0.00">
                  <c:v>3.9314812244989729E-3</c:v>
                </c:pt>
                <c:pt idx="476" formatCode="0.00">
                  <c:v>3.923224086836187E-3</c:v>
                </c:pt>
                <c:pt idx="477" formatCode="0.00">
                  <c:v>3.9150015118875779E-3</c:v>
                </c:pt>
                <c:pt idx="478" formatCode="0.00">
                  <c:v>3.9068132842213325E-3</c:v>
                </c:pt>
                <c:pt idx="479" formatCode="0.00">
                  <c:v>3.8986591901669773E-3</c:v>
                </c:pt>
                <c:pt idx="480" formatCode="0.00">
                  <c:v>3.8905390177979755E-3</c:v>
                </c:pt>
                <c:pt idx="481" formatCode="0.00">
                  <c:v>3.8824525569145112E-3</c:v>
                </c:pt>
                <c:pt idx="482" formatCode="0.00">
                  <c:v>3.874399599026484E-3</c:v>
                </c:pt>
                <c:pt idx="483" formatCode="0.00">
                  <c:v>3.8663799373366676E-3</c:v>
                </c:pt>
                <c:pt idx="484" formatCode="0.00">
                  <c:v>3.8583933667240798E-3</c:v>
                </c:pt>
                <c:pt idx="485" formatCode="0.00">
                  <c:v>3.8504396837275206E-3</c:v>
                </c:pt>
                <c:pt idx="486" formatCode="0.00">
                  <c:v>3.8425186865292983E-3</c:v>
                </c:pt>
                <c:pt idx="487" formatCode="0.00">
                  <c:v>3.8346301749391364E-3</c:v>
                </c:pt>
                <c:pt idx="488" formatCode="0.00">
                  <c:v>3.8267739503782608E-3</c:v>
                </c:pt>
                <c:pt idx="489" formatCode="0.00">
                  <c:v>3.8189498158636604E-3</c:v>
                </c:pt>
                <c:pt idx="490" formatCode="0.00">
                  <c:v>3.8111575759925244E-3</c:v>
                </c:pt>
                <c:pt idx="491" formatCode="0.00">
                  <c:v>3.8033970369268453E-3</c:v>
                </c:pt>
                <c:pt idx="492" formatCode="0.00">
                  <c:v>3.795668006378206E-3</c:v>
                </c:pt>
                <c:pt idx="493" formatCode="0.00">
                  <c:v>3.7879702935927164E-3</c:v>
                </c:pt>
                <c:pt idx="494" formatCode="0.00">
                  <c:v>3.7803037093361381E-3</c:v>
                </c:pt>
                <c:pt idx="495" formatCode="0.00">
                  <c:v>3.7726680658791509E-3</c:v>
                </c:pt>
                <c:pt idx="496" formatCode="0.00">
                  <c:v>3.7650631769828016E-3</c:v>
                </c:pt>
                <c:pt idx="497" formatCode="0.00">
                  <c:v>3.7574888578840986E-3</c:v>
                </c:pt>
                <c:pt idx="498" formatCode="0.00">
                  <c:v>3.7499449252817738E-3</c:v>
                </c:pt>
                <c:pt idx="499" formatCode="0.00">
                  <c:v>3.7424311973221968E-3</c:v>
                </c:pt>
                <c:pt idx="500" formatCode="0.00">
                  <c:v>3.7349474935854513E-3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A7-4DF5-8F3D-D1A4496332F8}"/>
            </c:ext>
          </c:extLst>
        </c:ser>
        <c:ser>
          <c:idx val="4"/>
          <c:order val="3"/>
          <c:tx>
            <c:strRef>
              <c:f>NSS!$CR$2</c:f>
              <c:strCache>
                <c:ptCount val="1"/>
                <c:pt idx="0">
                  <c:v>Second hump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NSS!$CN$3:$CN$503</c:f>
              <c:numCache>
                <c:formatCode>General</c:formatCode>
                <c:ptCount val="501"/>
                <c:pt idx="0" formatCode="0">
                  <c:v>9.9999999999999995E-7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 formatCode="0.0">
                  <c:v>32</c:v>
                </c:pt>
                <c:pt idx="65" formatCode="0.0">
                  <c:v>32.5</c:v>
                </c:pt>
                <c:pt idx="66" formatCode="0.0">
                  <c:v>33</c:v>
                </c:pt>
                <c:pt idx="67" formatCode="0.0">
                  <c:v>33.5</c:v>
                </c:pt>
                <c:pt idx="68" formatCode="0.0">
                  <c:v>34</c:v>
                </c:pt>
                <c:pt idx="69" formatCode="0.0">
                  <c:v>34.5</c:v>
                </c:pt>
                <c:pt idx="70" formatCode="0.0">
                  <c:v>35</c:v>
                </c:pt>
                <c:pt idx="71" formatCode="0.0">
                  <c:v>35.5</c:v>
                </c:pt>
                <c:pt idx="72" formatCode="0.0">
                  <c:v>36</c:v>
                </c:pt>
                <c:pt idx="73" formatCode="0.0">
                  <c:v>36.5</c:v>
                </c:pt>
                <c:pt idx="74" formatCode="0.0">
                  <c:v>37</c:v>
                </c:pt>
                <c:pt idx="75" formatCode="0.0">
                  <c:v>37.5</c:v>
                </c:pt>
                <c:pt idx="76" formatCode="0.0">
                  <c:v>38</c:v>
                </c:pt>
                <c:pt idx="77" formatCode="0.0">
                  <c:v>38.5</c:v>
                </c:pt>
                <c:pt idx="78" formatCode="0.0">
                  <c:v>39</c:v>
                </c:pt>
                <c:pt idx="79" formatCode="0.0">
                  <c:v>39.5</c:v>
                </c:pt>
                <c:pt idx="80" formatCode="0.0">
                  <c:v>40</c:v>
                </c:pt>
                <c:pt idx="81" formatCode="0.0">
                  <c:v>40.5</c:v>
                </c:pt>
                <c:pt idx="82" formatCode="0.0">
                  <c:v>41</c:v>
                </c:pt>
                <c:pt idx="83" formatCode="0.0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</c:numCache>
            </c:numRef>
          </c:cat>
          <c:val>
            <c:numRef>
              <c:f>NSS!$CR$3:$CR$503</c:f>
              <c:numCache>
                <c:formatCode>0.00%</c:formatCode>
                <c:ptCount val="501"/>
                <c:pt idx="0">
                  <c:v>2.0944027355237646E-9</c:v>
                </c:pt>
                <c:pt idx="1">
                  <c:v>8.8775393335670553E-4</c:v>
                </c:pt>
                <c:pt idx="2">
                  <c:v>1.7609213717264024E-3</c:v>
                </c:pt>
                <c:pt idx="3">
                  <c:v>2.6197044929360527E-3</c:v>
                </c:pt>
                <c:pt idx="4">
                  <c:v>3.4643028180811105E-3</c:v>
                </c:pt>
                <c:pt idx="5">
                  <c:v>4.2949132456181595E-3</c:v>
                </c:pt>
                <c:pt idx="6">
                  <c:v>5.111730085021679E-3</c:v>
                </c:pt>
                <c:pt idx="7">
                  <c:v>5.9149450900181991E-3</c:v>
                </c:pt>
                <c:pt idx="8">
                  <c:v>6.704747491396274E-3</c:v>
                </c:pt>
                <c:pt idx="9">
                  <c:v>7.4813240294024363E-3</c:v>
                </c:pt>
                <c:pt idx="10">
                  <c:v>8.2448589857253562E-3</c:v>
                </c:pt>
                <c:pt idx="11">
                  <c:v>8.9955342150755888E-3</c:v>
                </c:pt>
                <c:pt idx="12">
                  <c:v>9.7335291763639246E-3</c:v>
                </c:pt>
                <c:pt idx="13">
                  <c:v>1.0459020963485556E-2</c:v>
                </c:pt>
                <c:pt idx="14">
                  <c:v>1.1172184335712725E-2</c:v>
                </c:pt>
                <c:pt idx="15">
                  <c:v>1.1873191747703002E-2</c:v>
                </c:pt>
                <c:pt idx="16">
                  <c:v>1.2562213379126363E-2</c:v>
                </c:pt>
                <c:pt idx="17">
                  <c:v>1.3239417163916564E-2</c:v>
                </c:pt>
                <c:pt idx="18">
                  <c:v>1.3904968819151623E-2</c:v>
                </c:pt>
                <c:pt idx="19">
                  <c:v>1.4559031873567897E-2</c:v>
                </c:pt>
                <c:pt idx="20">
                  <c:v>1.5201767695712128E-2</c:v>
                </c:pt>
                <c:pt idx="21">
                  <c:v>1.5833335521736592E-2</c:v>
                </c:pt>
                <c:pt idx="22">
                  <c:v>1.6453892482841358E-2</c:v>
                </c:pt>
                <c:pt idx="23">
                  <c:v>1.7063593632368101E-2</c:v>
                </c:pt>
                <c:pt idx="24">
                  <c:v>1.7662591972550518E-2</c:v>
                </c:pt>
                <c:pt idx="25">
                  <c:v>1.8251038480924364E-2</c:v>
                </c:pt>
                <c:pt idx="26">
                  <c:v>1.8829082136403046E-2</c:v>
                </c:pt>
                <c:pt idx="27">
                  <c:v>1.9396869945021655E-2</c:v>
                </c:pt>
                <c:pt idx="28">
                  <c:v>1.9954546965353974E-2</c:v>
                </c:pt>
                <c:pt idx="29">
                  <c:v>2.0502256333607159E-2</c:v>
                </c:pt>
                <c:pt idx="30">
                  <c:v>2.1040139288397194E-2</c:v>
                </c:pt>
                <c:pt idx="31">
                  <c:v>2.1568335195210092E-2</c:v>
                </c:pt>
                <c:pt idx="32">
                  <c:v>2.2086981570551875E-2</c:v>
                </c:pt>
                <c:pt idx="33">
                  <c:v>2.2596214105792215E-2</c:v>
                </c:pt>
                <c:pt idx="34">
                  <c:v>2.3096166690704658E-2</c:v>
                </c:pt>
                <c:pt idx="35">
                  <c:v>2.3586971436707887E-2</c:v>
                </c:pt>
                <c:pt idx="36">
                  <c:v>2.4068758699811663E-2</c:v>
                </c:pt>
                <c:pt idx="37">
                  <c:v>2.4541657103271056E-2</c:v>
                </c:pt>
                <c:pt idx="38">
                  <c:v>2.500579355995269E-2</c:v>
                </c:pt>
                <c:pt idx="39">
                  <c:v>2.5461293294416359E-2</c:v>
                </c:pt>
                <c:pt idx="40">
                  <c:v>2.5908279864716405E-2</c:v>
                </c:pt>
                <c:pt idx="41">
                  <c:v>2.6346875183925495E-2</c:v>
                </c:pt>
                <c:pt idx="42">
                  <c:v>2.6777199541384463E-2</c:v>
                </c:pt>
                <c:pt idx="43">
                  <c:v>2.7199371623682491E-2</c:v>
                </c:pt>
                <c:pt idx="44">
                  <c:v>2.7613508535369872E-2</c:v>
                </c:pt>
                <c:pt idx="45">
                  <c:v>2.8019725819407277E-2</c:v>
                </c:pt>
                <c:pt idx="46">
                  <c:v>2.8418137477355197E-2</c:v>
                </c:pt>
                <c:pt idx="47">
                  <c:v>2.8808855989305934E-2</c:v>
                </c:pt>
                <c:pt idx="48">
                  <c:v>2.9191992333562577E-2</c:v>
                </c:pt>
                <c:pt idx="49">
                  <c:v>2.9567656006066756E-2</c:v>
                </c:pt>
                <c:pt idx="50">
                  <c:v>2.9935955039579683E-2</c:v>
                </c:pt>
                <c:pt idx="51">
                  <c:v>3.0296996022618577E-2</c:v>
                </c:pt>
                <c:pt idx="52">
                  <c:v>3.0650884118152338E-2</c:v>
                </c:pt>
                <c:pt idx="53">
                  <c:v>3.0997723082058774E-2</c:v>
                </c:pt>
                <c:pt idx="54">
                  <c:v>3.133761528134698E-2</c:v>
                </c:pt>
                <c:pt idx="55">
                  <c:v>3.1670661712147503E-2</c:v>
                </c:pt>
                <c:pt idx="56">
                  <c:v>3.1996962017473554E-2</c:v>
                </c:pt>
                <c:pt idx="57">
                  <c:v>3.2316614504755425E-2</c:v>
                </c:pt>
                <c:pt idx="58">
                  <c:v>3.2629716163152009E-2</c:v>
                </c:pt>
                <c:pt idx="59">
                  <c:v>3.2936362680641484E-2</c:v>
                </c:pt>
                <c:pt idx="60">
                  <c:v>3.3236648460894039E-2</c:v>
                </c:pt>
                <c:pt idx="61">
                  <c:v>3.3530666639929756E-2</c:v>
                </c:pt>
                <c:pt idx="62">
                  <c:v>3.3818509102563933E-2</c:v>
                </c:pt>
                <c:pt idx="63">
                  <c:v>3.410026649864286E-2</c:v>
                </c:pt>
                <c:pt idx="64" formatCode="0.00">
                  <c:v>3.4376028259072426E-2</c:v>
                </c:pt>
                <c:pt idx="65" formatCode="0.00">
                  <c:v>3.4645882611642427E-2</c:v>
                </c:pt>
                <c:pt idx="66" formatCode="0.00">
                  <c:v>3.4909916596649021E-2</c:v>
                </c:pt>
                <c:pt idx="67" formatCode="0.00">
                  <c:v>3.516821608231762E-2</c:v>
                </c:pt>
                <c:pt idx="68" formatCode="0.00">
                  <c:v>3.5420865780029537E-2</c:v>
                </c:pt>
                <c:pt idx="69" formatCode="0.00">
                  <c:v>3.5667949259353751E-2</c:v>
                </c:pt>
                <c:pt idx="70" formatCode="0.00">
                  <c:v>3.5909548962887283E-2</c:v>
                </c:pt>
                <c:pt idx="71" formatCode="0.00">
                  <c:v>3.614574622090589E-2</c:v>
                </c:pt>
                <c:pt idx="72" formatCode="0.00">
                  <c:v>3.6376621265827878E-2</c:v>
                </c:pt>
                <c:pt idx="73" formatCode="0.00">
                  <c:v>3.6602253246493202E-2</c:v>
                </c:pt>
                <c:pt idx="74" formatCode="0.00">
                  <c:v>3.6822720242260173E-2</c:v>
                </c:pt>
                <c:pt idx="75" formatCode="0.00">
                  <c:v>3.7038099276922309E-2</c:v>
                </c:pt>
                <c:pt idx="76" formatCode="0.00">
                  <c:v>3.7248466332447244E-2</c:v>
                </c:pt>
                <c:pt idx="77" formatCode="0.00">
                  <c:v>3.7453896362540352E-2</c:v>
                </c:pt>
                <c:pt idx="78" formatCode="0.00">
                  <c:v>3.7654463306034884E-2</c:v>
                </c:pt>
                <c:pt idx="79" formatCode="0.00">
                  <c:v>3.7850240100110982E-2</c:v>
                </c:pt>
                <c:pt idx="80" formatCode="0.00">
                  <c:v>3.8041298693346222E-2</c:v>
                </c:pt>
                <c:pt idx="81" formatCode="0.00">
                  <c:v>3.8227710058598569E-2</c:v>
                </c:pt>
                <c:pt idx="82" formatCode="0.00">
                  <c:v>3.8409544205725503E-2</c:v>
                </c:pt>
                <c:pt idx="83" formatCode="0.00">
                  <c:v>3.8586870194139811E-2</c:v>
                </c:pt>
                <c:pt idx="84" formatCode="0.00">
                  <c:v>3.8759756145205354E-2</c:v>
                </c:pt>
                <c:pt idx="85" formatCode="0.00">
                  <c:v>3.8928269254474027E-2</c:v>
                </c:pt>
                <c:pt idx="86" formatCode="0.00">
                  <c:v>3.9092475803766319E-2</c:v>
                </c:pt>
                <c:pt idx="87" formatCode="0.00">
                  <c:v>3.9252441173097348E-2</c:v>
                </c:pt>
                <c:pt idx="88" formatCode="0.00">
                  <c:v>3.9408229852450176E-2</c:v>
                </c:pt>
                <c:pt idx="89" formatCode="0.00">
                  <c:v>3.9559905453398755E-2</c:v>
                </c:pt>
                <c:pt idx="90" formatCode="0.00">
                  <c:v>3.9707530720581759E-2</c:v>
                </c:pt>
                <c:pt idx="91" formatCode="0.00">
                  <c:v>3.9851167543029996E-2</c:v>
                </c:pt>
                <c:pt idx="92" formatCode="0.00">
                  <c:v>3.9990876965348386E-2</c:v>
                </c:pt>
                <c:pt idx="93" formatCode="0.00">
                  <c:v>4.0126719198755115E-2</c:v>
                </c:pt>
                <c:pt idx="94" formatCode="0.00">
                  <c:v>4.0258753631979172E-2</c:v>
                </c:pt>
                <c:pt idx="95" formatCode="0.00">
                  <c:v>4.0387038842018531E-2</c:v>
                </c:pt>
                <c:pt idx="96" formatCode="0.00">
                  <c:v>4.0511632604760386E-2</c:v>
                </c:pt>
                <c:pt idx="97" formatCode="0.00">
                  <c:v>4.0632591905465504E-2</c:v>
                </c:pt>
                <c:pt idx="98" formatCode="0.00">
                  <c:v>4.074997294911796E-2</c:v>
                </c:pt>
                <c:pt idx="99" formatCode="0.00">
                  <c:v>4.086383117064258E-2</c:v>
                </c:pt>
                <c:pt idx="100" formatCode="0.00">
                  <c:v>4.0974221244991185E-2</c:v>
                </c:pt>
                <c:pt idx="101" formatCode="0.00">
                  <c:v>4.1081197097099668E-2</c:v>
                </c:pt>
                <c:pt idx="102" formatCode="0.00">
                  <c:v>4.1184811911717335E-2</c:v>
                </c:pt>
                <c:pt idx="103" formatCode="0.00">
                  <c:v>4.1285118143110325E-2</c:v>
                </c:pt>
                <c:pt idx="104" formatCode="0.00">
                  <c:v>4.1382167524640481E-2</c:v>
                </c:pt>
                <c:pt idx="105" formatCode="0.00">
                  <c:v>4.1476011078221367E-2</c:v>
                </c:pt>
                <c:pt idx="106" formatCode="0.00">
                  <c:v>4.1566699123653031E-2</c:v>
                </c:pt>
                <c:pt idx="107" formatCode="0.00">
                  <c:v>4.1654281287836992E-2</c:v>
                </c:pt>
                <c:pt idx="108" formatCode="0.00">
                  <c:v>4.1738806513872941E-2</c:v>
                </c:pt>
                <c:pt idx="109" formatCode="0.00">
                  <c:v>4.1820323070038704E-2</c:v>
                </c:pt>
                <c:pt idx="110" formatCode="0.00">
                  <c:v>4.1898878558654887E-2</c:v>
                </c:pt>
                <c:pt idx="111" formatCode="0.00">
                  <c:v>4.1974519924835807E-2</c:v>
                </c:pt>
                <c:pt idx="112" formatCode="0.00">
                  <c:v>4.2047293465128067E-2</c:v>
                </c:pt>
                <c:pt idx="113" formatCode="0.00">
                  <c:v>4.2117244836037938E-2</c:v>
                </c:pt>
                <c:pt idx="114" formatCode="0.00">
                  <c:v>4.2184419062449512E-2</c:v>
                </c:pt>
                <c:pt idx="115" formatCode="0.00">
                  <c:v>4.2248860545934581E-2</c:v>
                </c:pt>
                <c:pt idx="116" formatCode="0.00">
                  <c:v>4.2310613072955715E-2</c:v>
                </c:pt>
                <c:pt idx="117" formatCode="0.00">
                  <c:v>4.2369719822963871E-2</c:v>
                </c:pt>
                <c:pt idx="118" formatCode="0.00">
                  <c:v>4.2426223376392153E-2</c:v>
                </c:pt>
                <c:pt idx="119" formatCode="0.00">
                  <c:v>4.2480165722546454E-2</c:v>
                </c:pt>
                <c:pt idx="120" formatCode="0.00">
                  <c:v>4.2531588267394969E-2</c:v>
                </c:pt>
                <c:pt idx="121" formatCode="0.00">
                  <c:v>4.2580531841257319E-2</c:v>
                </c:pt>
                <c:pt idx="122" formatCode="0.00">
                  <c:v>4.2627036706394811E-2</c:v>
                </c:pt>
                <c:pt idx="123" formatCode="0.00">
                  <c:v>4.2671142564503182E-2</c:v>
                </c:pt>
                <c:pt idx="124" formatCode="0.00">
                  <c:v>4.2712888564108806E-2</c:v>
                </c:pt>
                <c:pt idx="125" formatCode="0.00">
                  <c:v>4.2752313307869681E-2</c:v>
                </c:pt>
                <c:pt idx="126" formatCode="0.00">
                  <c:v>4.2789454859782569E-2</c:v>
                </c:pt>
                <c:pt idx="127" formatCode="0.00">
                  <c:v>4.2824350752297319E-2</c:v>
                </c:pt>
                <c:pt idx="128" formatCode="0.00">
                  <c:v>4.2857037993339536E-2</c:v>
                </c:pt>
                <c:pt idx="129" formatCode="0.00">
                  <c:v>4.2887553073242768E-2</c:v>
                </c:pt>
                <c:pt idx="130" formatCode="0.00">
                  <c:v>4.2915931971591596E-2</c:v>
                </c:pt>
                <c:pt idx="131" formatCode="0.00">
                  <c:v>4.294221016397639E-2</c:v>
                </c:pt>
                <c:pt idx="132" formatCode="0.00">
                  <c:v>4.2966422628661016E-2</c:v>
                </c:pt>
                <c:pt idx="133" formatCode="0.00">
                  <c:v>4.2988603853164789E-2</c:v>
                </c:pt>
                <c:pt idx="134" formatCode="0.00">
                  <c:v>4.3008787840759365E-2</c:v>
                </c:pt>
                <c:pt idx="135" formatCode="0.00">
                  <c:v>4.3027008116882037E-2</c:v>
                </c:pt>
                <c:pt idx="136" formatCode="0.00">
                  <c:v>4.3043297735466321E-2</c:v>
                </c:pt>
                <c:pt idx="137" formatCode="0.00">
                  <c:v>4.3057689285190721E-2</c:v>
                </c:pt>
                <c:pt idx="138" formatCode="0.00">
                  <c:v>4.3070214895647135E-2</c:v>
                </c:pt>
                <c:pt idx="139" formatCode="0.00">
                  <c:v>4.3080906243429501E-2</c:v>
                </c:pt>
                <c:pt idx="140" formatCode="0.00">
                  <c:v>4.3089794558143962E-2</c:v>
                </c:pt>
                <c:pt idx="141" formatCode="0.00">
                  <c:v>4.3096910628341416E-2</c:v>
                </c:pt>
                <c:pt idx="142" formatCode="0.00">
                  <c:v>4.3102284807373478E-2</c:v>
                </c:pt>
                <c:pt idx="143" formatCode="0.00">
                  <c:v>4.310594701917287E-2</c:v>
                </c:pt>
                <c:pt idx="144" formatCode="0.00">
                  <c:v>4.3107926763959123E-2</c:v>
                </c:pt>
                <c:pt idx="145" formatCode="0.00">
                  <c:v>4.31082531238706E-2</c:v>
                </c:pt>
                <c:pt idx="146" formatCode="0.00">
                  <c:v>4.3106954768523748E-2</c:v>
                </c:pt>
                <c:pt idx="147" formatCode="0.00">
                  <c:v>4.3104059960500506E-2</c:v>
                </c:pt>
                <c:pt idx="148" formatCode="0.00">
                  <c:v>4.3099596560764841E-2</c:v>
                </c:pt>
                <c:pt idx="149" formatCode="0.00">
                  <c:v>4.3093592034009164E-2</c:v>
                </c:pt>
                <c:pt idx="150" formatCode="0.00">
                  <c:v>4.3086073453931721E-2</c:v>
                </c:pt>
                <c:pt idx="151" formatCode="0.00">
                  <c:v>4.3077067508445741E-2</c:v>
                </c:pt>
                <c:pt idx="152" formatCode="0.00">
                  <c:v>4.3066600504821036E-2</c:v>
                </c:pt>
                <c:pt idx="153" formatCode="0.00">
                  <c:v>4.3054698374759316E-2</c:v>
                </c:pt>
                <c:pt idx="154" formatCode="0.00">
                  <c:v>4.3041386679403666E-2</c:v>
                </c:pt>
                <c:pt idx="155" formatCode="0.00">
                  <c:v>4.3026690614283276E-2</c:v>
                </c:pt>
                <c:pt idx="156" formatCode="0.00">
                  <c:v>4.3010635014194047E-2</c:v>
                </c:pt>
                <c:pt idx="157" formatCode="0.00">
                  <c:v>4.2993244358016186E-2</c:v>
                </c:pt>
                <c:pt idx="158" formatCode="0.00">
                  <c:v>4.2974542773469203E-2</c:v>
                </c:pt>
                <c:pt idx="159" formatCode="0.00">
                  <c:v>4.2954554041805475E-2</c:v>
                </c:pt>
                <c:pt idx="160" formatCode="0.00">
                  <c:v>4.2933301602442901E-2</c:v>
                </c:pt>
                <c:pt idx="161" formatCode="0.00">
                  <c:v>4.2910808557537553E-2</c:v>
                </c:pt>
                <c:pt idx="162" formatCode="0.00">
                  <c:v>4.2887097676497121E-2</c:v>
                </c:pt>
                <c:pt idx="163" formatCode="0.00">
                  <c:v>4.2862191400435706E-2</c:v>
                </c:pt>
                <c:pt idx="164" formatCode="0.00">
                  <c:v>4.2836111846570941E-2</c:v>
                </c:pt>
                <c:pt idx="165" formatCode="0.00">
                  <c:v>4.2808880812564107E-2</c:v>
                </c:pt>
                <c:pt idx="166" formatCode="0.00">
                  <c:v>4.2780519780803862E-2</c:v>
                </c:pt>
                <c:pt idx="167" formatCode="0.00">
                  <c:v>4.275104992263442E-2</c:v>
                </c:pt>
                <c:pt idx="168" formatCode="0.00">
                  <c:v>4.2720492102528859E-2</c:v>
                </c:pt>
                <c:pt idx="169" formatCode="0.00">
                  <c:v>4.2688866882208278E-2</c:v>
                </c:pt>
                <c:pt idx="170" formatCode="0.00">
                  <c:v>4.2656194524707418E-2</c:v>
                </c:pt>
                <c:pt idx="171" formatCode="0.00">
                  <c:v>4.2622494998387467E-2</c:v>
                </c:pt>
                <c:pt idx="172" formatCode="0.00">
                  <c:v>4.2587787980896845E-2</c:v>
                </c:pt>
                <c:pt idx="173" formatCode="0.00">
                  <c:v>4.2552092863080392E-2</c:v>
                </c:pt>
                <c:pt idx="174" formatCode="0.00">
                  <c:v>4.2515428752837842E-2</c:v>
                </c:pt>
                <c:pt idx="175" formatCode="0.00">
                  <c:v>4.2477814478932112E-2</c:v>
                </c:pt>
                <c:pt idx="176" formatCode="0.00">
                  <c:v>4.2439268594748031E-2</c:v>
                </c:pt>
                <c:pt idx="177" formatCode="0.00">
                  <c:v>4.2399809382002288E-2</c:v>
                </c:pt>
                <c:pt idx="178" formatCode="0.00">
                  <c:v>4.2359454854404975E-2</c:v>
                </c:pt>
                <c:pt idx="179" formatCode="0.00">
                  <c:v>4.2318222761273672E-2</c:v>
                </c:pt>
                <c:pt idx="180" formatCode="0.00">
                  <c:v>4.2276130591100275E-2</c:v>
                </c:pt>
                <c:pt idx="181" formatCode="0.00">
                  <c:v>4.223319557507163E-2</c:v>
                </c:pt>
                <c:pt idx="182" formatCode="0.00">
                  <c:v>4.2189434690544099E-2</c:v>
                </c:pt>
                <c:pt idx="183" formatCode="0.00">
                  <c:v>4.2144864664473057E-2</c:v>
                </c:pt>
                <c:pt idx="184" formatCode="0.00">
                  <c:v>4.2099501976797606E-2</c:v>
                </c:pt>
                <c:pt idx="185" formatCode="0.00">
                  <c:v>4.2053362863781189E-2</c:v>
                </c:pt>
                <c:pt idx="186" formatCode="0.00">
                  <c:v>4.2006463321308724E-2</c:v>
                </c:pt>
                <c:pt idx="187" formatCode="0.00">
                  <c:v>4.1958819108140762E-2</c:v>
                </c:pt>
                <c:pt idx="188" formatCode="0.00">
                  <c:v>4.191044574912503E-2</c:v>
                </c:pt>
                <c:pt idx="189" formatCode="0.00">
                  <c:v>4.1861358538366387E-2</c:v>
                </c:pt>
                <c:pt idx="190" formatCode="0.00">
                  <c:v>4.1811572542355173E-2</c:v>
                </c:pt>
                <c:pt idx="191" formatCode="0.00">
                  <c:v>4.1761102603054795E-2</c:v>
                </c:pt>
                <c:pt idx="192" formatCode="0.00">
                  <c:v>4.1709963340949126E-2</c:v>
                </c:pt>
                <c:pt idx="193" formatCode="0.00">
                  <c:v>4.1658169158049936E-2</c:v>
                </c:pt>
                <c:pt idx="194" formatCode="0.00">
                  <c:v>4.1605734240865215E-2</c:v>
                </c:pt>
                <c:pt idx="195" formatCode="0.00">
                  <c:v>4.1552672563328563E-2</c:v>
                </c:pt>
                <c:pt idx="196" formatCode="0.00">
                  <c:v>4.149899788969047E-2</c:v>
                </c:pt>
                <c:pt idx="197" formatCode="0.00">
                  <c:v>4.1444723777371649E-2</c:v>
                </c:pt>
                <c:pt idx="198" formatCode="0.00">
                  <c:v>4.1389863579779161E-2</c:v>
                </c:pt>
                <c:pt idx="199" formatCode="0.00">
                  <c:v>4.1334430449085684E-2</c:v>
                </c:pt>
                <c:pt idx="200" formatCode="0.00">
                  <c:v>4.1278437338972455E-2</c:v>
                </c:pt>
                <c:pt idx="201" formatCode="0.00">
                  <c:v>4.1221897007336285E-2</c:v>
                </c:pt>
                <c:pt idx="202" formatCode="0.00">
                  <c:v>4.1164822018961142E-2</c:v>
                </c:pt>
                <c:pt idx="203" formatCode="0.00">
                  <c:v>4.1107224748154814E-2</c:v>
                </c:pt>
                <c:pt idx="204" formatCode="0.00">
                  <c:v>4.104911738135103E-2</c:v>
                </c:pt>
                <c:pt idx="205" formatCode="0.00">
                  <c:v>4.0990511919677404E-2</c:v>
                </c:pt>
                <c:pt idx="206" formatCode="0.00">
                  <c:v>4.0931420181489923E-2</c:v>
                </c:pt>
                <c:pt idx="207" formatCode="0.00">
                  <c:v>4.0871853804873987E-2</c:v>
                </c:pt>
                <c:pt idx="208" formatCode="0.00">
                  <c:v>4.0811824250112899E-2</c:v>
                </c:pt>
                <c:pt idx="209" formatCode="0.00">
                  <c:v>4.075134280212378E-2</c:v>
                </c:pt>
                <c:pt idx="210" formatCode="0.00">
                  <c:v>4.0690420572861707E-2</c:v>
                </c:pt>
                <c:pt idx="211" formatCode="0.00">
                  <c:v>4.0629068503692148E-2</c:v>
                </c:pt>
                <c:pt idx="212" formatCode="0.00">
                  <c:v>4.0567297367732388E-2</c:v>
                </c:pt>
                <c:pt idx="213" formatCode="0.00">
                  <c:v>4.0505117772162161E-2</c:v>
                </c:pt>
                <c:pt idx="214" formatCode="0.00">
                  <c:v>4.0442540160503963E-2</c:v>
                </c:pt>
                <c:pt idx="215" formatCode="0.00">
                  <c:v>4.0379574814873337E-2</c:v>
                </c:pt>
                <c:pt idx="216" formatCode="0.00">
                  <c:v>4.0316231858199748E-2</c:v>
                </c:pt>
                <c:pt idx="217" formatCode="0.00">
                  <c:v>4.0252521256418067E-2</c:v>
                </c:pt>
                <c:pt idx="218" formatCode="0.00">
                  <c:v>4.0188452820631444E-2</c:v>
                </c:pt>
                <c:pt idx="219" formatCode="0.00">
                  <c:v>4.0124036209245588E-2</c:v>
                </c:pt>
                <c:pt idx="220" formatCode="0.00">
                  <c:v>4.0059280930075013E-2</c:v>
                </c:pt>
                <c:pt idx="221" formatCode="0.00">
                  <c:v>3.9994196342421635E-2</c:v>
                </c:pt>
                <c:pt idx="222" formatCode="0.00">
                  <c:v>3.9928791659125933E-2</c:v>
                </c:pt>
                <c:pt idx="223" formatCode="0.00">
                  <c:v>3.9863075948591058E-2</c:v>
                </c:pt>
                <c:pt idx="224" formatCode="0.00">
                  <c:v>3.9797058136780465E-2</c:v>
                </c:pt>
                <c:pt idx="225" formatCode="0.00">
                  <c:v>3.9730747009189028E-2</c:v>
                </c:pt>
                <c:pt idx="226" formatCode="0.00">
                  <c:v>3.9664151212788275E-2</c:v>
                </c:pt>
                <c:pt idx="227" formatCode="0.00">
                  <c:v>3.9597279257945976E-2</c:v>
                </c:pt>
                <c:pt idx="228" formatCode="0.00">
                  <c:v>3.9530139520320383E-2</c:v>
                </c:pt>
                <c:pt idx="229" formatCode="0.00">
                  <c:v>3.9462740242729541E-2</c:v>
                </c:pt>
                <c:pt idx="230" formatCode="0.00">
                  <c:v>3.9395089536995831E-2</c:v>
                </c:pt>
                <c:pt idx="231" formatCode="0.00">
                  <c:v>3.9327195385766282E-2</c:v>
                </c:pt>
                <c:pt idx="232" formatCode="0.00">
                  <c:v>3.9259065644308769E-2</c:v>
                </c:pt>
                <c:pt idx="233" formatCode="0.00">
                  <c:v>3.9190708042284514E-2</c:v>
                </c:pt>
                <c:pt idx="234" formatCode="0.00">
                  <c:v>3.912213018549715E-2</c:v>
                </c:pt>
                <c:pt idx="235" formatCode="0.00">
                  <c:v>3.905333955761868E-2</c:v>
                </c:pt>
                <c:pt idx="236" formatCode="0.00">
                  <c:v>3.8984343521892624E-2</c:v>
                </c:pt>
                <c:pt idx="237" formatCode="0.00">
                  <c:v>3.8915149322814646E-2</c:v>
                </c:pt>
                <c:pt idx="238" formatCode="0.00">
                  <c:v>3.884576408779087E-2</c:v>
                </c:pt>
                <c:pt idx="239" formatCode="0.00">
                  <c:v>3.8776194828774369E-2</c:v>
                </c:pt>
                <c:pt idx="240" formatCode="0.00">
                  <c:v>3.8706448443879909E-2</c:v>
                </c:pt>
                <c:pt idx="241" formatCode="0.00">
                  <c:v>3.8636531718977296E-2</c:v>
                </c:pt>
                <c:pt idx="242" formatCode="0.00">
                  <c:v>3.8566451329263687E-2</c:v>
                </c:pt>
                <c:pt idx="243" formatCode="0.00">
                  <c:v>3.8496213840814975E-2</c:v>
                </c:pt>
                <c:pt idx="244" formatCode="0.00">
                  <c:v>3.8425825712116675E-2</c:v>
                </c:pt>
                <c:pt idx="245" formatCode="0.00">
                  <c:v>3.8355293295574446E-2</c:v>
                </c:pt>
                <c:pt idx="246" formatCode="0.00">
                  <c:v>3.8284622839004655E-2</c:v>
                </c:pt>
                <c:pt idx="247" formatCode="0.00">
                  <c:v>3.8213820487105088E-2</c:v>
                </c:pt>
                <c:pt idx="248" formatCode="0.00">
                  <c:v>3.8142892282906134E-2</c:v>
                </c:pt>
                <c:pt idx="249" formatCode="0.00">
                  <c:v>3.8071844169202715E-2</c:v>
                </c:pt>
                <c:pt idx="250" formatCode="0.00">
                  <c:v>3.8000681989967262E-2</c:v>
                </c:pt>
                <c:pt idx="251" formatCode="0.00">
                  <c:v>3.7929411491743753E-2</c:v>
                </c:pt>
                <c:pt idx="252" formatCode="0.00">
                  <c:v>3.7858038325023352E-2</c:v>
                </c:pt>
                <c:pt idx="253" formatCode="0.00">
                  <c:v>3.7786568045601689E-2</c:v>
                </c:pt>
                <c:pt idx="254" formatCode="0.00">
                  <c:v>3.7715006115918097E-2</c:v>
                </c:pt>
                <c:pt idx="255" formatCode="0.00">
                  <c:v>3.7643357906377031E-2</c:v>
                </c:pt>
                <c:pt idx="256" formatCode="0.00">
                  <c:v>3.7571628696651857E-2</c:v>
                </c:pt>
                <c:pt idx="257" formatCode="0.00">
                  <c:v>3.7499823676971307E-2</c:v>
                </c:pt>
                <c:pt idx="258" formatCode="0.00">
                  <c:v>3.7427947949388793E-2</c:v>
                </c:pt>
                <c:pt idx="259" formatCode="0.00">
                  <c:v>3.7356006529034751E-2</c:v>
                </c:pt>
                <c:pt idx="260" formatCode="0.00">
                  <c:v>3.728400434535236E-2</c:v>
                </c:pt>
                <c:pt idx="261" formatCode="0.00">
                  <c:v>3.7211946243316696E-2</c:v>
                </c:pt>
                <c:pt idx="262" formatCode="0.00">
                  <c:v>3.7139836984637652E-2</c:v>
                </c:pt>
                <c:pt idx="263" formatCode="0.00">
                  <c:v>3.7067681248946847E-2</c:v>
                </c:pt>
                <c:pt idx="264" formatCode="0.00">
                  <c:v>3.6995483634968573E-2</c:v>
                </c:pt>
                <c:pt idx="265" formatCode="0.00">
                  <c:v>3.6923248661675137E-2</c:v>
                </c:pt>
                <c:pt idx="266" formatCode="0.00">
                  <c:v>3.6850980769426861E-2</c:v>
                </c:pt>
                <c:pt idx="267" formatCode="0.00">
                  <c:v>3.6778684321096641E-2</c:v>
                </c:pt>
                <c:pt idx="268" formatCode="0.00">
                  <c:v>3.670636360317963E-2</c:v>
                </c:pt>
                <c:pt idx="269" formatCode="0.00">
                  <c:v>3.6634022826887998E-2</c:v>
                </c:pt>
                <c:pt idx="270" formatCode="0.00">
                  <c:v>3.6561666129231028E-2</c:v>
                </c:pt>
                <c:pt idx="271" formatCode="0.00">
                  <c:v>3.6489297574080759E-2</c:v>
                </c:pt>
                <c:pt idx="272" formatCode="0.00">
                  <c:v>3.6416921153223335E-2</c:v>
                </c:pt>
                <c:pt idx="273" formatCode="0.00">
                  <c:v>3.6344540787396289E-2</c:v>
                </c:pt>
                <c:pt idx="274" formatCode="0.00">
                  <c:v>3.6272160327311891E-2</c:v>
                </c:pt>
                <c:pt idx="275" formatCode="0.00">
                  <c:v>3.6199783554666756E-2</c:v>
                </c:pt>
                <c:pt idx="276" formatCode="0.00">
                  <c:v>3.6127414183137897E-2</c:v>
                </c:pt>
                <c:pt idx="277" formatCode="0.00">
                  <c:v>3.6055055859365449E-2</c:v>
                </c:pt>
                <c:pt idx="278" formatCode="0.00">
                  <c:v>3.5982712163922133E-2</c:v>
                </c:pt>
                <c:pt idx="279" formatCode="0.00">
                  <c:v>3.5910386612269696E-2</c:v>
                </c:pt>
                <c:pt idx="280" formatCode="0.00">
                  <c:v>3.5838082655702541E-2</c:v>
                </c:pt>
                <c:pt idx="281" formatCode="0.00">
                  <c:v>3.5765803682278594E-2</c:v>
                </c:pt>
                <c:pt idx="282" formatCode="0.00">
                  <c:v>3.5693553017737689E-2</c:v>
                </c:pt>
                <c:pt idx="283" formatCode="0.00">
                  <c:v>3.5621333926407532E-2</c:v>
                </c:pt>
                <c:pt idx="284" formatCode="0.00">
                  <c:v>3.5549149612097576E-2</c:v>
                </c:pt>
                <c:pt idx="285" formatCode="0.00">
                  <c:v>3.5477003218980681E-2</c:v>
                </c:pt>
                <c:pt idx="286" formatCode="0.00">
                  <c:v>3.540489783246302E-2</c:v>
                </c:pt>
                <c:pt idx="287" formatCode="0.00">
                  <c:v>3.53328364800422E-2</c:v>
                </c:pt>
                <c:pt idx="288" formatCode="0.00">
                  <c:v>3.5260822132153813E-2</c:v>
                </c:pt>
                <c:pt idx="289" formatCode="0.00">
                  <c:v>3.518885770300649E-2</c:v>
                </c:pt>
                <c:pt idx="290" formatCode="0.00">
                  <c:v>3.5116946051405827E-2</c:v>
                </c:pt>
                <c:pt idx="291" formatCode="0.00">
                  <c:v>3.504508998156701E-2</c:v>
                </c:pt>
                <c:pt idx="292" formatCode="0.00">
                  <c:v>3.4973292243916529E-2</c:v>
                </c:pt>
                <c:pt idx="293" formatCode="0.00">
                  <c:v>3.4901555535883061E-2</c:v>
                </c:pt>
                <c:pt idx="294" formatCode="0.00">
                  <c:v>3.4829882502677594E-2</c:v>
                </c:pt>
                <c:pt idx="295" formatCode="0.00">
                  <c:v>3.4758275738063039E-2</c:v>
                </c:pt>
                <c:pt idx="296" formatCode="0.00">
                  <c:v>3.46867377851134E-2</c:v>
                </c:pt>
                <c:pt idx="297" formatCode="0.00">
                  <c:v>3.4615271136962604E-2</c:v>
                </c:pt>
                <c:pt idx="298" formatCode="0.00">
                  <c:v>3.4543878237543249E-2</c:v>
                </c:pt>
                <c:pt idx="299" formatCode="0.00">
                  <c:v>3.4472561482315291E-2</c:v>
                </c:pt>
                <c:pt idx="300" formatCode="0.00">
                  <c:v>3.4401323218984849E-2</c:v>
                </c:pt>
                <c:pt idx="301" formatCode="0.00">
                  <c:v>3.4330165748213209E-2</c:v>
                </c:pt>
                <c:pt idx="302" formatCode="0.00">
                  <c:v>3.4259091324316239E-2</c:v>
                </c:pt>
                <c:pt idx="303" formatCode="0.00">
                  <c:v>3.4188102155954303E-2</c:v>
                </c:pt>
                <c:pt idx="304" formatCode="0.00">
                  <c:v>3.411720040681273E-2</c:v>
                </c:pt>
                <c:pt idx="305" formatCode="0.00">
                  <c:v>3.4046388196273043E-2</c:v>
                </c:pt>
                <c:pt idx="306" formatCode="0.00">
                  <c:v>3.3975667600075116E-2</c:v>
                </c:pt>
                <c:pt idx="307" formatCode="0.00">
                  <c:v>3.3905040650970206E-2</c:v>
                </c:pt>
                <c:pt idx="308" formatCode="0.00">
                  <c:v>3.3834509339365125E-2</c:v>
                </c:pt>
                <c:pt idx="309" formatCode="0.00">
                  <c:v>3.3764075613957653E-2</c:v>
                </c:pt>
                <c:pt idx="310" formatCode="0.00">
                  <c:v>3.3693741382363251E-2</c:v>
                </c:pt>
                <c:pt idx="311" formatCode="0.00">
                  <c:v>3.3623508511733166E-2</c:v>
                </c:pt>
                <c:pt idx="312" formatCode="0.00">
                  <c:v>3.3553378829364225E-2</c:v>
                </c:pt>
                <c:pt idx="313" formatCode="0.00">
                  <c:v>3.3483354123300148E-2</c:v>
                </c:pt>
                <c:pt idx="314" formatCode="0.00">
                  <c:v>3.3413436142924746E-2</c:v>
                </c:pt>
                <c:pt idx="315" formatCode="0.00">
                  <c:v>3.3343626599546886E-2</c:v>
                </c:pt>
                <c:pt idx="316" formatCode="0.00">
                  <c:v>3.3273927166977579E-2</c:v>
                </c:pt>
                <c:pt idx="317" formatCode="0.00">
                  <c:v>3.3204339482099068E-2</c:v>
                </c:pt>
                <c:pt idx="318" formatCode="0.00">
                  <c:v>3.3134865145426143E-2</c:v>
                </c:pt>
                <c:pt idx="319" formatCode="0.00">
                  <c:v>3.3065505721659727E-2</c:v>
                </c:pt>
                <c:pt idx="320" formatCode="0.00">
                  <c:v>3.299626274023295E-2</c:v>
                </c:pt>
                <c:pt idx="321" formatCode="0.00">
                  <c:v>3.2927137695849616E-2</c:v>
                </c:pt>
                <c:pt idx="322" formatCode="0.00">
                  <c:v>3.2858132049015304E-2</c:v>
                </c:pt>
                <c:pt idx="323" formatCode="0.00">
                  <c:v>3.2789247226561249E-2</c:v>
                </c:pt>
                <c:pt idx="324" formatCode="0.00">
                  <c:v>3.2720484622160873E-2</c:v>
                </c:pt>
                <c:pt idx="325" formatCode="0.00">
                  <c:v>3.2651845596839313E-2</c:v>
                </c:pt>
                <c:pt idx="326" formatCode="0.00">
                  <c:v>3.258333147947591E-2</c:v>
                </c:pt>
                <c:pt idx="327" formatCode="0.00">
                  <c:v>3.2514943567299726E-2</c:v>
                </c:pt>
                <c:pt idx="328" formatCode="0.00">
                  <c:v>3.2446683126378252E-2</c:v>
                </c:pt>
                <c:pt idx="329" formatCode="0.00">
                  <c:v>3.2378551392099435E-2</c:v>
                </c:pt>
                <c:pt idx="330" formatCode="0.00">
                  <c:v>3.2310549569646914E-2</c:v>
                </c:pt>
                <c:pt idx="331" formatCode="0.00">
                  <c:v>3.2242678834468831E-2</c:v>
                </c:pt>
                <c:pt idx="332" formatCode="0.00">
                  <c:v>3.217494033274005E-2</c:v>
                </c:pt>
                <c:pt idx="333" formatCode="0.00">
                  <c:v>3.2107335181818054E-2</c:v>
                </c:pt>
                <c:pt idx="334" formatCode="0.00">
                  <c:v>3.2039864470692472E-2</c:v>
                </c:pt>
                <c:pt idx="335" formatCode="0.00">
                  <c:v>3.1972529260428449E-2</c:v>
                </c:pt>
                <c:pt idx="336" formatCode="0.00">
                  <c:v>3.1905330584603764E-2</c:v>
                </c:pt>
                <c:pt idx="337" formatCode="0.00">
                  <c:v>3.1838269449740025E-2</c:v>
                </c:pt>
                <c:pt idx="338" formatCode="0.00">
                  <c:v>3.1771346835727722E-2</c:v>
                </c:pt>
                <c:pt idx="339" formatCode="0.00">
                  <c:v>3.1704563696245518E-2</c:v>
                </c:pt>
                <c:pt idx="340" formatCode="0.00">
                  <c:v>3.1637920959173615E-2</c:v>
                </c:pt>
                <c:pt idx="341" formatCode="0.00">
                  <c:v>3.1571419527001397E-2</c:v>
                </c:pt>
                <c:pt idx="342" formatCode="0.00">
                  <c:v>3.1505060277229442E-2</c:v>
                </c:pt>
                <c:pt idx="343" formatCode="0.00">
                  <c:v>3.1438844062765842E-2</c:v>
                </c:pt>
                <c:pt idx="344" formatCode="0.00">
                  <c:v>3.1372771712317102E-2</c:v>
                </c:pt>
                <c:pt idx="345" formatCode="0.00">
                  <c:v>3.1306844030773481E-2</c:v>
                </c:pt>
                <c:pt idx="346" formatCode="0.00">
                  <c:v>3.124106179958908E-2</c:v>
                </c:pt>
                <c:pt idx="347" formatCode="0.00">
                  <c:v>3.1175425777156512E-2</c:v>
                </c:pt>
                <c:pt idx="348" formatCode="0.00">
                  <c:v>3.110993669917635E-2</c:v>
                </c:pt>
                <c:pt idx="349" formatCode="0.00">
                  <c:v>3.1044595279021463E-2</c:v>
                </c:pt>
                <c:pt idx="350" formatCode="0.00">
                  <c:v>3.0979402208096224E-2</c:v>
                </c:pt>
                <c:pt idx="351" formatCode="0.00">
                  <c:v>3.0914358156190633E-2</c:v>
                </c:pt>
                <c:pt idx="352" formatCode="0.00">
                  <c:v>3.0849463771829577E-2</c:v>
                </c:pt>
                <c:pt idx="353" formatCode="0.00">
                  <c:v>3.078471968261709E-2</c:v>
                </c:pt>
                <c:pt idx="354" formatCode="0.00">
                  <c:v>3.0720126495575855E-2</c:v>
                </c:pt>
                <c:pt idx="355" formatCode="0.00">
                  <c:v>3.0655684797481864E-2</c:v>
                </c:pt>
                <c:pt idx="356" formatCode="0.00">
                  <c:v>3.0591395155194444E-2</c:v>
                </c:pt>
                <c:pt idx="357" formatCode="0.00">
                  <c:v>3.0527258115981608E-2</c:v>
                </c:pt>
                <c:pt idx="358" formatCode="0.00">
                  <c:v>3.0463274207840771E-2</c:v>
                </c:pt>
                <c:pt idx="359" formatCode="0.00">
                  <c:v>3.039944393981504E-2</c:v>
                </c:pt>
                <c:pt idx="360" formatCode="0.00">
                  <c:v>3.0335767802304986E-2</c:v>
                </c:pt>
                <c:pt idx="361" formatCode="0.00">
                  <c:v>3.0272246267376013E-2</c:v>
                </c:pt>
                <c:pt idx="362" formatCode="0.00">
                  <c:v>3.0208879789061376E-2</c:v>
                </c:pt>
                <c:pt idx="363" formatCode="0.00">
                  <c:v>3.0145668803660992E-2</c:v>
                </c:pt>
                <c:pt idx="364" formatCode="0.00">
                  <c:v>3.0082613730035897E-2</c:v>
                </c:pt>
                <c:pt idx="365" formatCode="0.00">
                  <c:v>3.0019714969898633E-2</c:v>
                </c:pt>
                <c:pt idx="366" formatCode="0.00">
                  <c:v>2.9956972908099448E-2</c:v>
                </c:pt>
                <c:pt idx="367" formatCode="0.00">
                  <c:v>2.9894387912908511E-2</c:v>
                </c:pt>
                <c:pt idx="368" formatCode="0.00">
                  <c:v>2.983196033629406E-2</c:v>
                </c:pt>
                <c:pt idx="369" formatCode="0.00">
                  <c:v>2.976969051419659E-2</c:v>
                </c:pt>
                <c:pt idx="370" formatCode="0.00">
                  <c:v>2.9707578766799188E-2</c:v>
                </c:pt>
                <c:pt idx="371" formatCode="0.00">
                  <c:v>2.9645625398794003E-2</c:v>
                </c:pt>
                <c:pt idx="372" formatCode="0.00">
                  <c:v>2.9583830699644879E-2</c:v>
                </c:pt>
                <c:pt idx="373" formatCode="0.00">
                  <c:v>2.9522194943846298E-2</c:v>
                </c:pt>
                <c:pt idx="374" formatCode="0.00">
                  <c:v>2.9460718391178586E-2</c:v>
                </c:pt>
                <c:pt idx="375" formatCode="0.00">
                  <c:v>2.939940128695951E-2</c:v>
                </c:pt>
                <c:pt idx="376" formatCode="0.00">
                  <c:v>2.9338243862292231E-2</c:v>
                </c:pt>
                <c:pt idx="377" formatCode="0.00">
                  <c:v>2.9277246334309739E-2</c:v>
                </c:pt>
                <c:pt idx="378" formatCode="0.00">
                  <c:v>2.9216408906415789E-2</c:v>
                </c:pt>
                <c:pt idx="379" formatCode="0.00">
                  <c:v>2.9155731768522368E-2</c:v>
                </c:pt>
                <c:pt idx="380" formatCode="0.00">
                  <c:v>2.909521509728373E-2</c:v>
                </c:pt>
                <c:pt idx="381" formatCode="0.00">
                  <c:v>2.9034859056327141E-2</c:v>
                </c:pt>
                <c:pt idx="382" formatCode="0.00">
                  <c:v>2.8974663796480216E-2</c:v>
                </c:pt>
                <c:pt idx="383" formatCode="0.00">
                  <c:v>2.8914629455995041E-2</c:v>
                </c:pt>
                <c:pt idx="384" formatCode="0.00">
                  <c:v>2.8854756160769077E-2</c:v>
                </c:pt>
                <c:pt idx="385" formatCode="0.00">
                  <c:v>2.8795044024562795E-2</c:v>
                </c:pt>
                <c:pt idx="386" formatCode="0.00">
                  <c:v>2.8735493149214295E-2</c:v>
                </c:pt>
                <c:pt idx="387" formatCode="0.00">
                  <c:v>2.8676103624850683E-2</c:v>
                </c:pt>
                <c:pt idx="388" formatCode="0.00">
                  <c:v>2.8616875530096515E-2</c:v>
                </c:pt>
                <c:pt idx="389" formatCode="0.00">
                  <c:v>2.8557808932279143E-2</c:v>
                </c:pt>
                <c:pt idx="390" formatCode="0.00">
                  <c:v>2.8498903887631107E-2</c:v>
                </c:pt>
                <c:pt idx="391" formatCode="0.00">
                  <c:v>2.8440160441489611E-2</c:v>
                </c:pt>
                <c:pt idx="392" formatCode="0.00">
                  <c:v>2.8381578628493061E-2</c:v>
                </c:pt>
                <c:pt idx="393" formatCode="0.00">
                  <c:v>2.8323158472774768E-2</c:v>
                </c:pt>
                <c:pt idx="394" formatCode="0.00">
                  <c:v>2.826489998815386E-2</c:v>
                </c:pt>
                <c:pt idx="395" formatCode="0.00">
                  <c:v>2.8206803178323338E-2</c:v>
                </c:pt>
                <c:pt idx="396" formatCode="0.00">
                  <c:v>2.8148868037035459E-2</c:v>
                </c:pt>
                <c:pt idx="397" formatCode="0.00">
                  <c:v>2.8091094548284387E-2</c:v>
                </c:pt>
                <c:pt idx="398" formatCode="0.00">
                  <c:v>2.8033482686486158E-2</c:v>
                </c:pt>
                <c:pt idx="399" formatCode="0.00">
                  <c:v>2.7976032416656027E-2</c:v>
                </c:pt>
                <c:pt idx="400" formatCode="0.00">
                  <c:v>2.7918743694583224E-2</c:v>
                </c:pt>
                <c:pt idx="401" formatCode="0.00">
                  <c:v>2.7861616467003122E-2</c:v>
                </c:pt>
                <c:pt idx="402" formatCode="0.00">
                  <c:v>2.7804650671766913E-2</c:v>
                </c:pt>
                <c:pt idx="403" formatCode="0.00">
                  <c:v>2.7747846238008751E-2</c:v>
                </c:pt>
                <c:pt idx="404" formatCode="0.00">
                  <c:v>2.7691203086310432E-2</c:v>
                </c:pt>
                <c:pt idx="405" formatCode="0.00">
                  <c:v>2.7634721128863716E-2</c:v>
                </c:pt>
                <c:pt idx="406" formatCode="0.00">
                  <c:v>2.7578400269630168E-2</c:v>
                </c:pt>
                <c:pt idx="407" formatCode="0.00">
                  <c:v>2.7522240404498681E-2</c:v>
                </c:pt>
                <c:pt idx="408" formatCode="0.00">
                  <c:v>2.7466241421440656E-2</c:v>
                </c:pt>
                <c:pt idx="409" formatCode="0.00">
                  <c:v>2.7410403200662924E-2</c:v>
                </c:pt>
                <c:pt idx="410" formatCode="0.00">
                  <c:v>2.7354725614758314E-2</c:v>
                </c:pt>
                <c:pt idx="411" formatCode="0.00">
                  <c:v>2.7299208528854101E-2</c:v>
                </c:pt>
                <c:pt idx="412" formatCode="0.00">
                  <c:v>2.7243851800758133E-2</c:v>
                </c:pt>
                <c:pt idx="413" formatCode="0.00">
                  <c:v>2.7188655281102873E-2</c:v>
                </c:pt>
                <c:pt idx="414" formatCode="0.00">
                  <c:v>2.7133618813487245E-2</c:v>
                </c:pt>
                <c:pt idx="415" formatCode="0.00">
                  <c:v>2.7078742234616371E-2</c:v>
                </c:pt>
                <c:pt idx="416" formatCode="0.00">
                  <c:v>2.7024025374439247E-2</c:v>
                </c:pt>
                <c:pt idx="417" formatCode="0.00">
                  <c:v>2.6969468056284317E-2</c:v>
                </c:pt>
                <c:pt idx="418" formatCode="0.00">
                  <c:v>2.6915070096993076E-2</c:v>
                </c:pt>
                <c:pt idx="419" formatCode="0.00">
                  <c:v>2.6860831307051587E-2</c:v>
                </c:pt>
                <c:pt idx="420" formatCode="0.00">
                  <c:v>2.6806751490720107E-2</c:v>
                </c:pt>
                <c:pt idx="421" formatCode="0.00">
                  <c:v>2.6752830446160714E-2</c:v>
                </c:pt>
                <c:pt idx="422" formatCode="0.00">
                  <c:v>2.6699067965563011E-2</c:v>
                </c:pt>
                <c:pt idx="423" formatCode="0.00">
                  <c:v>2.6645463835267967E-2</c:v>
                </c:pt>
                <c:pt idx="424" formatCode="0.00">
                  <c:v>2.659201783588987E-2</c:v>
                </c:pt>
                <c:pt idx="425" formatCode="0.00">
                  <c:v>2.6538729742436425E-2</c:v>
                </c:pt>
                <c:pt idx="426" formatCode="0.00">
                  <c:v>2.6485599324427043E-2</c:v>
                </c:pt>
                <c:pt idx="427" formatCode="0.00">
                  <c:v>2.643262634600934E-2</c:v>
                </c:pt>
                <c:pt idx="428" formatCode="0.00">
                  <c:v>2.6379810566073872E-2</c:v>
                </c:pt>
                <c:pt idx="429" formatCode="0.00">
                  <c:v>2.6327151738367117E-2</c:v>
                </c:pt>
                <c:pt idx="430" formatCode="0.00">
                  <c:v>2.6274649611602707E-2</c:v>
                </c:pt>
                <c:pt idx="431" formatCode="0.00">
                  <c:v>2.6222303929571051E-2</c:v>
                </c:pt>
                <c:pt idx="432" formatCode="0.00">
                  <c:v>2.617011443124715E-2</c:v>
                </c:pt>
                <c:pt idx="433" formatCode="0.00">
                  <c:v>2.6118080850896907E-2</c:v>
                </c:pt>
                <c:pt idx="434" formatCode="0.00">
                  <c:v>2.6066202918181715E-2</c:v>
                </c:pt>
                <c:pt idx="435" formatCode="0.00">
                  <c:v>2.6014480358261434E-2</c:v>
                </c:pt>
                <c:pt idx="436" formatCode="0.00">
                  <c:v>2.5962912891895864E-2</c:v>
                </c:pt>
                <c:pt idx="437" formatCode="0.00">
                  <c:v>2.591150023554457E-2</c:v>
                </c:pt>
                <c:pt idx="438" formatCode="0.00">
                  <c:v>2.586024210146522E-2</c:v>
                </c:pt>
                <c:pt idx="439" formatCode="0.00">
                  <c:v>2.5809138197810395E-2</c:v>
                </c:pt>
                <c:pt idx="440" formatCode="0.00">
                  <c:v>2.5758188228722886E-2</c:v>
                </c:pt>
                <c:pt idx="441" formatCode="0.00">
                  <c:v>2.570739189442952E-2</c:v>
                </c:pt>
                <c:pt idx="442" formatCode="0.00">
                  <c:v>2.5656748891333545E-2</c:v>
                </c:pt>
                <c:pt idx="443" formatCode="0.00">
                  <c:v>2.5606258912105564E-2</c:v>
                </c:pt>
                <c:pt idx="444" formatCode="0.00">
                  <c:v>2.5555921645773052E-2</c:v>
                </c:pt>
                <c:pt idx="445" formatCode="0.00">
                  <c:v>2.5505736777808485E-2</c:v>
                </c:pt>
                <c:pt idx="446" formatCode="0.00">
                  <c:v>2.5455703990216086E-2</c:v>
                </c:pt>
                <c:pt idx="447" formatCode="0.00">
                  <c:v>2.5405822961617221E-2</c:v>
                </c:pt>
                <c:pt idx="448" formatCode="0.00">
                  <c:v>2.5356093367334444E-2</c:v>
                </c:pt>
                <c:pt idx="449" formatCode="0.00">
                  <c:v>2.5306514879474218E-2</c:v>
                </c:pt>
                <c:pt idx="450" formatCode="0.00">
                  <c:v>2.5257087167008366E-2</c:v>
                </c:pt>
                <c:pt idx="451" formatCode="0.00">
                  <c:v>2.5207809895854208E-2</c:v>
                </c:pt>
                <c:pt idx="452" formatCode="0.00">
                  <c:v>2.515868272895341E-2</c:v>
                </c:pt>
                <c:pt idx="453" formatCode="0.00">
                  <c:v>2.5109705326349662E-2</c:v>
                </c:pt>
                <c:pt idx="454" formatCode="0.00">
                  <c:v>2.5060877345265062E-2</c:v>
                </c:pt>
                <c:pt idx="455" formatCode="0.00">
                  <c:v>2.5012198440175267E-2</c:v>
                </c:pt>
                <c:pt idx="456" formatCode="0.00">
                  <c:v>2.4963668262883539E-2</c:v>
                </c:pt>
                <c:pt idx="457" formatCode="0.00">
                  <c:v>2.4915286462593507E-2</c:v>
                </c:pt>
                <c:pt idx="458" formatCode="0.00">
                  <c:v>2.4867052685980856E-2</c:v>
                </c:pt>
                <c:pt idx="459" formatCode="0.00">
                  <c:v>2.4818966577263773E-2</c:v>
                </c:pt>
                <c:pt idx="460" formatCode="0.00">
                  <c:v>2.4771027778272361E-2</c:v>
                </c:pt>
                <c:pt idx="461" formatCode="0.00">
                  <c:v>2.4723235928516874E-2</c:v>
                </c:pt>
                <c:pt idx="462" formatCode="0.00">
                  <c:v>2.4675590665254873E-2</c:v>
                </c:pt>
                <c:pt idx="463" formatCode="0.00">
                  <c:v>2.462809162355729E-2</c:v>
                </c:pt>
                <c:pt idx="464" formatCode="0.00">
                  <c:v>2.4580738436373446E-2</c:v>
                </c:pt>
                <c:pt idx="465" formatCode="0.00">
                  <c:v>2.4533530734594969E-2</c:v>
                </c:pt>
                <c:pt idx="466" formatCode="0.00">
                  <c:v>2.4486468147118735E-2</c:v>
                </c:pt>
                <c:pt idx="467" formatCode="0.00">
                  <c:v>2.4439550300908722E-2</c:v>
                </c:pt>
                <c:pt idx="468" formatCode="0.00">
                  <c:v>2.4392776821056925E-2</c:v>
                </c:pt>
                <c:pt idx="469" formatCode="0.00">
                  <c:v>2.4346147330843174E-2</c:v>
                </c:pt>
                <c:pt idx="470" formatCode="0.00">
                  <c:v>2.4299661451794106E-2</c:v>
                </c:pt>
                <c:pt idx="471" formatCode="0.00">
                  <c:v>2.4253318803741035E-2</c:v>
                </c:pt>
                <c:pt idx="472" formatCode="0.00">
                  <c:v>2.4207119004876949E-2</c:v>
                </c:pt>
                <c:pt idx="473" formatCode="0.00">
                  <c:v>2.4161061671812568E-2</c:v>
                </c:pt>
                <c:pt idx="474" formatCode="0.00">
                  <c:v>2.4115146419631424E-2</c:v>
                </c:pt>
                <c:pt idx="475" formatCode="0.00">
                  <c:v>2.406937286194406E-2</c:v>
                </c:pt>
                <c:pt idx="476" formatCode="0.00">
                  <c:v>2.4023740610941344E-2</c:v>
                </c:pt>
                <c:pt idx="477" formatCode="0.00">
                  <c:v>2.3978249277446864E-2</c:v>
                </c:pt>
                <c:pt idx="478" formatCode="0.00">
                  <c:v>2.3932898470968453E-2</c:v>
                </c:pt>
                <c:pt idx="479" formatCode="0.00">
                  <c:v>2.3887687799748876E-2</c:v>
                </c:pt>
                <c:pt idx="480" formatCode="0.00">
                  <c:v>2.3842616870815632E-2</c:v>
                </c:pt>
                <c:pt idx="481" formatCode="0.00">
                  <c:v>2.3797685290029947E-2</c:v>
                </c:pt>
                <c:pt idx="482" formatCode="0.00">
                  <c:v>2.3752892662134911E-2</c:v>
                </c:pt>
                <c:pt idx="483" formatCode="0.00">
                  <c:v>2.370823859080284E-2</c:v>
                </c:pt>
                <c:pt idx="484" formatCode="0.00">
                  <c:v>2.3663722678681789E-2</c:v>
                </c:pt>
                <c:pt idx="485" formatCode="0.00">
                  <c:v>2.3619344527441306E-2</c:v>
                </c:pt>
                <c:pt idx="486" formatCode="0.00">
                  <c:v>2.3575103737817408E-2</c:v>
                </c:pt>
                <c:pt idx="487" formatCode="0.00">
                  <c:v>2.353099990965676E-2</c:v>
                </c:pt>
                <c:pt idx="488" formatCode="0.00">
                  <c:v>2.3487032641960122E-2</c:v>
                </c:pt>
                <c:pt idx="489" formatCode="0.00">
                  <c:v>2.3443201532925024E-2</c:v>
                </c:pt>
                <c:pt idx="490" formatCode="0.00">
                  <c:v>2.3399506179987758E-2</c:v>
                </c:pt>
                <c:pt idx="491" formatCode="0.00">
                  <c:v>2.3355946179864553E-2</c:v>
                </c:pt>
                <c:pt idx="492" formatCode="0.00">
                  <c:v>2.3312521128592143E-2</c:v>
                </c:pt>
                <c:pt idx="493" formatCode="0.00">
                  <c:v>2.3269230621567539E-2</c:v>
                </c:pt>
                <c:pt idx="494" formatCode="0.00">
                  <c:v>2.3226074253587154E-2</c:v>
                </c:pt>
                <c:pt idx="495" formatCode="0.00">
                  <c:v>2.3183051618885231E-2</c:v>
                </c:pt>
                <c:pt idx="496" formatCode="0.00">
                  <c:v>2.3140162311171608E-2</c:v>
                </c:pt>
                <c:pt idx="497" formatCode="0.00">
                  <c:v>2.3097405923668792E-2</c:v>
                </c:pt>
                <c:pt idx="498" formatCode="0.00">
                  <c:v>2.30547820491484E-2</c:v>
                </c:pt>
                <c:pt idx="499" formatCode="0.00">
                  <c:v>2.3012290279966961E-2</c:v>
                </c:pt>
                <c:pt idx="500" formatCode="0.00">
                  <c:v>2.2969930208101039E-2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A7-4DF5-8F3D-D1A4496332F8}"/>
            </c:ext>
          </c:extLst>
        </c:ser>
        <c:ser>
          <c:idx val="5"/>
          <c:order val="4"/>
          <c:tx>
            <c:strRef>
              <c:f>NSS!$CS$2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NSS!$CN$3:$CN$503</c:f>
              <c:numCache>
                <c:formatCode>General</c:formatCode>
                <c:ptCount val="501"/>
                <c:pt idx="0" formatCode="0">
                  <c:v>9.9999999999999995E-7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 formatCode="0.0">
                  <c:v>32</c:v>
                </c:pt>
                <c:pt idx="65" formatCode="0.0">
                  <c:v>32.5</c:v>
                </c:pt>
                <c:pt idx="66" formatCode="0.0">
                  <c:v>33</c:v>
                </c:pt>
                <c:pt idx="67" formatCode="0.0">
                  <c:v>33.5</c:v>
                </c:pt>
                <c:pt idx="68" formatCode="0.0">
                  <c:v>34</c:v>
                </c:pt>
                <c:pt idx="69" formatCode="0.0">
                  <c:v>34.5</c:v>
                </c:pt>
                <c:pt idx="70" formatCode="0.0">
                  <c:v>35</c:v>
                </c:pt>
                <c:pt idx="71" formatCode="0.0">
                  <c:v>35.5</c:v>
                </c:pt>
                <c:pt idx="72" formatCode="0.0">
                  <c:v>36</c:v>
                </c:pt>
                <c:pt idx="73" formatCode="0.0">
                  <c:v>36.5</c:v>
                </c:pt>
                <c:pt idx="74" formatCode="0.0">
                  <c:v>37</c:v>
                </c:pt>
                <c:pt idx="75" formatCode="0.0">
                  <c:v>37.5</c:v>
                </c:pt>
                <c:pt idx="76" formatCode="0.0">
                  <c:v>38</c:v>
                </c:pt>
                <c:pt idx="77" formatCode="0.0">
                  <c:v>38.5</c:v>
                </c:pt>
                <c:pt idx="78" formatCode="0.0">
                  <c:v>39</c:v>
                </c:pt>
                <c:pt idx="79" formatCode="0.0">
                  <c:v>39.5</c:v>
                </c:pt>
                <c:pt idx="80" formatCode="0.0">
                  <c:v>40</c:v>
                </c:pt>
                <c:pt idx="81" formatCode="0.0">
                  <c:v>40.5</c:v>
                </c:pt>
                <c:pt idx="82" formatCode="0.0">
                  <c:v>41</c:v>
                </c:pt>
                <c:pt idx="83" formatCode="0.0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</c:numCache>
            </c:numRef>
          </c:cat>
          <c:val>
            <c:numRef>
              <c:f>NSS!$CS$3:$CS$503</c:f>
              <c:numCache>
                <c:formatCode>0.00%</c:formatCode>
                <c:ptCount val="501"/>
                <c:pt idx="0">
                  <c:v>2.8087986863238396E-2</c:v>
                </c:pt>
                <c:pt idx="1">
                  <c:v>3.0007209822507822E-2</c:v>
                </c:pt>
                <c:pt idx="2">
                  <c:v>3.187928866773785E-2</c:v>
                </c:pt>
                <c:pt idx="3">
                  <c:v>3.370537984708516E-2</c:v>
                </c:pt>
                <c:pt idx="4">
                  <c:v>3.5486613829732255E-2</c:v>
                </c:pt>
                <c:pt idx="5">
                  <c:v>3.7224091728487743E-2</c:v>
                </c:pt>
                <c:pt idx="6">
                  <c:v>3.8918886091989277E-2</c:v>
                </c:pt>
                <c:pt idx="7">
                  <c:v>4.0572041675102567E-2</c:v>
                </c:pt>
                <c:pt idx="8">
                  <c:v>4.2184576188115386E-2</c:v>
                </c:pt>
                <c:pt idx="9">
                  <c:v>4.3757481025319664E-2</c:v>
                </c:pt>
                <c:pt idx="10">
                  <c:v>4.5291721973551816E-2</c:v>
                </c:pt>
                <c:pt idx="11">
                  <c:v>4.6788239901248967E-2</c:v>
                </c:pt>
                <c:pt idx="12">
                  <c:v>4.8247951428560767E-2</c:v>
                </c:pt>
                <c:pt idx="13">
                  <c:v>4.9671749579044133E-2</c:v>
                </c:pt>
                <c:pt idx="14">
                  <c:v>5.1060504413450121E-2</c:v>
                </c:pt>
                <c:pt idx="15">
                  <c:v>5.2415063646102059E-2</c:v>
                </c:pt>
                <c:pt idx="16">
                  <c:v>5.3736253244346208E-2</c:v>
                </c:pt>
                <c:pt idx="17">
                  <c:v>5.5024878011545444E-2</c:v>
                </c:pt>
                <c:pt idx="18">
                  <c:v>5.6281722154072608E-2</c:v>
                </c:pt>
                <c:pt idx="19">
                  <c:v>5.7507549832746883E-2</c:v>
                </c:pt>
                <c:pt idx="20">
                  <c:v>5.8703105699144956E-2</c:v>
                </c:pt>
                <c:pt idx="21">
                  <c:v>5.9869115417206464E-2</c:v>
                </c:pt>
                <c:pt idx="22">
                  <c:v>6.1006286170541296E-2</c:v>
                </c:pt>
                <c:pt idx="23">
                  <c:v>6.2115307155835228E-2</c:v>
                </c:pt>
                <c:pt idx="24">
                  <c:v>6.3196850062739576E-2</c:v>
                </c:pt>
                <c:pt idx="25">
                  <c:v>6.4251569540618697E-2</c:v>
                </c:pt>
                <c:pt idx="26">
                  <c:v>6.5280103652520807E-2</c:v>
                </c:pt>
                <c:pt idx="27">
                  <c:v>6.6283074316724921E-2</c:v>
                </c:pt>
                <c:pt idx="28">
                  <c:v>6.7261087736208702E-2</c:v>
                </c:pt>
                <c:pt idx="29">
                  <c:v>6.8214734816372219E-2</c:v>
                </c:pt>
                <c:pt idx="30">
                  <c:v>6.9144591571341951E-2</c:v>
                </c:pt>
                <c:pt idx="31">
                  <c:v>7.0051219519172425E-2</c:v>
                </c:pt>
                <c:pt idx="32">
                  <c:v>7.093516606625172E-2</c:v>
                </c:pt>
                <c:pt idx="33">
                  <c:v>7.1796964881211081E-2</c:v>
                </c:pt>
                <c:pt idx="34">
                  <c:v>7.263713625862786E-2</c:v>
                </c:pt>
                <c:pt idx="35">
                  <c:v>7.3456187472805121E-2</c:v>
                </c:pt>
                <c:pt idx="36">
                  <c:v>7.4254613121902485E-2</c:v>
                </c:pt>
                <c:pt idx="37">
                  <c:v>7.5032895462684851E-2</c:v>
                </c:pt>
                <c:pt idx="38">
                  <c:v>7.5791504736148596E-2</c:v>
                </c:pt>
                <c:pt idx="39">
                  <c:v>7.6530899484277673E-2</c:v>
                </c:pt>
                <c:pt idx="40">
                  <c:v>7.7251526858175115E-2</c:v>
                </c:pt>
                <c:pt idx="41">
                  <c:v>7.7953822917808141E-2</c:v>
                </c:pt>
                <c:pt idx="42">
                  <c:v>7.8638212923598239E-2</c:v>
                </c:pt>
                <c:pt idx="43">
                  <c:v>7.9305111620083094E-2</c:v>
                </c:pt>
                <c:pt idx="44">
                  <c:v>7.995492351186774E-2</c:v>
                </c:pt>
                <c:pt idx="45">
                  <c:v>8.0588043132078915E-2</c:v>
                </c:pt>
                <c:pt idx="46">
                  <c:v>8.1204855303529763E-2</c:v>
                </c:pt>
                <c:pt idx="47">
                  <c:v>8.1805735392795578E-2</c:v>
                </c:pt>
                <c:pt idx="48">
                  <c:v>8.2391049557397289E-2</c:v>
                </c:pt>
                <c:pt idx="49">
                  <c:v>8.296115498628176E-2</c:v>
                </c:pt>
                <c:pt idx="50">
                  <c:v>8.3516400133785168E-2</c:v>
                </c:pt>
                <c:pt idx="51">
                  <c:v>8.4057124947258116E-2</c:v>
                </c:pt>
                <c:pt idx="52">
                  <c:v>8.4583661088528578E-2</c:v>
                </c:pt>
                <c:pt idx="53">
                  <c:v>8.5096332149371429E-2</c:v>
                </c:pt>
                <c:pt idx="54">
                  <c:v>8.5595453861150639E-2</c:v>
                </c:pt>
                <c:pt idx="55">
                  <c:v>8.6081334298794665E-2</c:v>
                </c:pt>
                <c:pt idx="56">
                  <c:v>8.6554274079261098E-2</c:v>
                </c:pt>
                <c:pt idx="57">
                  <c:v>8.7014566554642209E-2</c:v>
                </c:pt>
                <c:pt idx="58">
                  <c:v>8.7462498000059702E-2</c:v>
                </c:pt>
                <c:pt idx="59">
                  <c:v>8.7898347796491694E-2</c:v>
                </c:pt>
                <c:pt idx="60">
                  <c:v>8.8322388608671379E-2</c:v>
                </c:pt>
                <c:pt idx="61">
                  <c:v>8.873488655819356E-2</c:v>
                </c:pt>
                <c:pt idx="62">
                  <c:v>8.9136101391960446E-2</c:v>
                </c:pt>
                <c:pt idx="63">
                  <c:v>8.9526286646095368E-2</c:v>
                </c:pt>
                <c:pt idx="64">
                  <c:v>8.9905689805448663E-2</c:v>
                </c:pt>
                <c:pt idx="65">
                  <c:v>9.0274552458817325E-2</c:v>
                </c:pt>
                <c:pt idx="66">
                  <c:v>9.0633110449996113E-2</c:v>
                </c:pt>
                <c:pt idx="67">
                  <c:v>9.0981594024774542E-2</c:v>
                </c:pt>
                <c:pt idx="68">
                  <c:v>9.132022797399153E-2</c:v>
                </c:pt>
                <c:pt idx="69">
                  <c:v>9.1649231772755579E-2</c:v>
                </c:pt>
                <c:pt idx="70">
                  <c:v>9.1968819715936095E-2</c:v>
                </c:pt>
                <c:pt idx="71">
                  <c:v>9.2279201050028042E-2</c:v>
                </c:pt>
                <c:pt idx="72">
                  <c:v>9.258058010148959E-2</c:v>
                </c:pt>
                <c:pt idx="73">
                  <c:v>9.2873156401649448E-2</c:v>
                </c:pt>
                <c:pt idx="74">
                  <c:v>9.3157124808277855E-2</c:v>
                </c:pt>
                <c:pt idx="75">
                  <c:v>9.3432675623913108E-2</c:v>
                </c:pt>
                <c:pt idx="76">
                  <c:v>9.3699994711031964E-2</c:v>
                </c:pt>
                <c:pt idx="77">
                  <c:v>9.3959263604151008E-2</c:v>
                </c:pt>
                <c:pt idx="78">
                  <c:v>9.4210659618942566E-2</c:v>
                </c:pt>
                <c:pt idx="79">
                  <c:v>9.4454355958447006E-2</c:v>
                </c:pt>
                <c:pt idx="80">
                  <c:v>9.4690521816461481E-2</c:v>
                </c:pt>
                <c:pt idx="81">
                  <c:v>9.4919322478181217E-2</c:v>
                </c:pt>
                <c:pt idx="82">
                  <c:v>9.5140919418169739E-2</c:v>
                </c:pt>
                <c:pt idx="83">
                  <c:v>9.5355470395730141E-2</c:v>
                </c:pt>
                <c:pt idx="84">
                  <c:v>9.556312954774894E-2</c:v>
                </c:pt>
                <c:pt idx="85">
                  <c:v>9.576404747908146E-2</c:v>
                </c:pt>
                <c:pt idx="86">
                  <c:v>9.5958371350545663E-2</c:v>
                </c:pt>
                <c:pt idx="87">
                  <c:v>9.6146244964590122E-2</c:v>
                </c:pt>
                <c:pt idx="88">
                  <c:v>9.6327808848699126E-2</c:v>
                </c:pt>
                <c:pt idx="89">
                  <c:v>9.650320033659715E-2</c:v>
                </c:pt>
                <c:pt idx="90">
                  <c:v>9.667255364731217E-2</c:v>
                </c:pt>
                <c:pt idx="91">
                  <c:v>9.6835999962156805E-2</c:v>
                </c:pt>
                <c:pt idx="92">
                  <c:v>9.6993667499683217E-2</c:v>
                </c:pt>
                <c:pt idx="93">
                  <c:v>9.7145681588667737E-2</c:v>
                </c:pt>
                <c:pt idx="94">
                  <c:v>9.7292164739178288E-2</c:v>
                </c:pt>
                <c:pt idx="95">
                  <c:v>9.7433236711777033E-2</c:v>
                </c:pt>
                <c:pt idx="96">
                  <c:v>9.7569014584908853E-2</c:v>
                </c:pt>
                <c:pt idx="97">
                  <c:v>9.7699612820525139E-2</c:v>
                </c:pt>
                <c:pt idx="98">
                  <c:v>9.7825143327990444E-2</c:v>
                </c:pt>
                <c:pt idx="99">
                  <c:v>9.7945715526319158E-2</c:v>
                </c:pt>
                <c:pt idx="100">
                  <c:v>9.8061436404786997E-2</c:v>
                </c:pt>
                <c:pt idx="101">
                  <c:v>9.8172410581961966E-2</c:v>
                </c:pt>
                <c:pt idx="102">
                  <c:v>9.8278740363197004E-2</c:v>
                </c:pt>
                <c:pt idx="103">
                  <c:v>9.8380525796626636E-2</c:v>
                </c:pt>
                <c:pt idx="104">
                  <c:v>9.8477864727707629E-2</c:v>
                </c:pt>
                <c:pt idx="105">
                  <c:v>9.8570852852343405E-2</c:v>
                </c:pt>
                <c:pt idx="106">
                  <c:v>9.8659583768630404E-2</c:v>
                </c:pt>
                <c:pt idx="107">
                  <c:v>9.8744149027263639E-2</c:v>
                </c:pt>
                <c:pt idx="108">
                  <c:v>9.8824638180637844E-2</c:v>
                </c:pt>
                <c:pt idx="109">
                  <c:v>9.8901138830679122E-2</c:v>
                </c:pt>
                <c:pt idx="110">
                  <c:v>9.8973736675441737E-2</c:v>
                </c:pt>
                <c:pt idx="111">
                  <c:v>9.904251555450308E-2</c:v>
                </c:pt>
                <c:pt idx="112">
                  <c:v>9.9107557493189544E-2</c:v>
                </c:pt>
                <c:pt idx="113">
                  <c:v>9.916894274566429E-2</c:v>
                </c:pt>
                <c:pt idx="114">
                  <c:v>9.9226749836908115E-2</c:v>
                </c:pt>
                <c:pt idx="115">
                  <c:v>9.9281055603622909E-2</c:v>
                </c:pt>
                <c:pt idx="116">
                  <c:v>9.9331935234086691E-2</c:v>
                </c:pt>
                <c:pt idx="117">
                  <c:v>9.9379462306988464E-2</c:v>
                </c:pt>
                <c:pt idx="118">
                  <c:v>9.9423708829270416E-2</c:v>
                </c:pt>
                <c:pt idx="119">
                  <c:v>9.946474527300378E-2</c:v>
                </c:pt>
                <c:pt idx="120">
                  <c:v>9.9502640611324689E-2</c:v>
                </c:pt>
                <c:pt idx="121">
                  <c:v>9.9537462353454856E-2</c:v>
                </c:pt>
                <c:pt idx="122">
                  <c:v>9.9569276578831828E-2</c:v>
                </c:pt>
                <c:pt idx="123">
                  <c:v>9.9598147970372669E-2</c:v>
                </c:pt>
                <c:pt idx="124">
                  <c:v>9.9624139846894111E-2</c:v>
                </c:pt>
                <c:pt idx="125">
                  <c:v>9.9647314194711706E-2</c:v>
                </c:pt>
                <c:pt idx="126">
                  <c:v>9.9667731698440135E-2</c:v>
                </c:pt>
                <c:pt idx="127">
                  <c:v>9.9685451771015815E-2</c:v>
                </c:pt>
                <c:pt idx="128">
                  <c:v>9.970053258296252E-2</c:v>
                </c:pt>
                <c:pt idx="129">
                  <c:v>9.9713031090920334E-2</c:v>
                </c:pt>
                <c:pt idx="130">
                  <c:v>9.9723003065457533E-2</c:v>
                </c:pt>
                <c:pt idx="131">
                  <c:v>9.9730503118184322E-2</c:v>
                </c:pt>
                <c:pt idx="132">
                  <c:v>9.9735584728187138E-2</c:v>
                </c:pt>
                <c:pt idx="133">
                  <c:v>9.9738300267801561E-2</c:v>
                </c:pt>
                <c:pt idx="134">
                  <c:v>9.973870102774135E-2</c:v>
                </c:pt>
                <c:pt idx="135">
                  <c:v>9.9736837241600707E-2</c:v>
                </c:pt>
                <c:pt idx="136">
                  <c:v>9.9732758109746328E-2</c:v>
                </c:pt>
                <c:pt idx="137">
                  <c:v>9.9726511822615493E-2</c:v>
                </c:pt>
                <c:pt idx="138">
                  <c:v>9.9718145583435738E-2</c:v>
                </c:pt>
                <c:pt idx="139">
                  <c:v>9.9707705630381754E-2</c:v>
                </c:pt>
                <c:pt idx="140">
                  <c:v>9.9695237258183911E-2</c:v>
                </c:pt>
                <c:pt idx="141">
                  <c:v>9.9680784839203118E-2</c:v>
                </c:pt>
                <c:pt idx="142">
                  <c:v>9.9664391843986233E-2</c:v>
                </c:pt>
                <c:pt idx="143">
                  <c:v>9.9646100861315395E-2</c:v>
                </c:pt>
                <c:pt idx="144">
                  <c:v>9.9625953617764759E-2</c:v>
                </c:pt>
                <c:pt idx="145">
                  <c:v>9.9603990996777608E-2</c:v>
                </c:pt>
                <c:pt idx="146">
                  <c:v>9.958025305727633E-2</c:v>
                </c:pt>
                <c:pt idx="147">
                  <c:v>9.9554779051817671E-2</c:v>
                </c:pt>
                <c:pt idx="148">
                  <c:v>9.9527607444304972E-2</c:v>
                </c:pt>
                <c:pt idx="149">
                  <c:v>9.9498775927269092E-2</c:v>
                </c:pt>
                <c:pt idx="150">
                  <c:v>9.9468321438729468E-2</c:v>
                </c:pt>
                <c:pt idx="151">
                  <c:v>9.9436280178646003E-2</c:v>
                </c:pt>
                <c:pt idx="152">
                  <c:v>9.9402687624972424E-2</c:v>
                </c:pt>
                <c:pt idx="153">
                  <c:v>9.9367578549322072E-2</c:v>
                </c:pt>
                <c:pt idx="154">
                  <c:v>9.9330987032255236E-2</c:v>
                </c:pt>
                <c:pt idx="155">
                  <c:v>9.9292946478199001E-2</c:v>
                </c:pt>
                <c:pt idx="156">
                  <c:v>9.9253489630008115E-2</c:v>
                </c:pt>
                <c:pt idx="157">
                  <c:v>9.9212648583177049E-2</c:v>
                </c:pt>
                <c:pt idx="158">
                  <c:v>9.917045479971158E-2</c:v>
                </c:pt>
                <c:pt idx="159">
                  <c:v>9.9126939121669366E-2</c:v>
                </c:pt>
                <c:pt idx="160">
                  <c:v>9.9082131784377442E-2</c:v>
                </c:pt>
                <c:pt idx="161">
                  <c:v>9.9036062429335547E-2</c:v>
                </c:pt>
                <c:pt idx="162">
                  <c:v>9.898876011681304E-2</c:v>
                </c:pt>
                <c:pt idx="163">
                  <c:v>9.8940253338147335E-2</c:v>
                </c:pt>
                <c:pt idx="164">
                  <c:v>9.8890570027751659E-2</c:v>
                </c:pt>
                <c:pt idx="165">
                  <c:v>9.8839737574839576E-2</c:v>
                </c:pt>
                <c:pt idx="166">
                  <c:v>9.8787782834873467E-2</c:v>
                </c:pt>
                <c:pt idx="167">
                  <c:v>9.8734732140744061E-2</c:v>
                </c:pt>
                <c:pt idx="168">
                  <c:v>9.8680611313688008E-2</c:v>
                </c:pt>
                <c:pt idx="169">
                  <c:v>9.8625445673950096E-2</c:v>
                </c:pt>
                <c:pt idx="170">
                  <c:v>9.8569260051196594E-2</c:v>
                </c:pt>
                <c:pt idx="171">
                  <c:v>9.8512078794686223E-2</c:v>
                </c:pt>
                <c:pt idx="172">
                  <c:v>9.8453925783204721E-2</c:v>
                </c:pt>
                <c:pt idx="173">
                  <c:v>9.8394824434769268E-2</c:v>
                </c:pt>
                <c:pt idx="174">
                  <c:v>9.8334797716108327E-2</c:v>
                </c:pt>
                <c:pt idx="175">
                  <c:v>9.8273868151922864E-2</c:v>
                </c:pt>
                <c:pt idx="176">
                  <c:v>9.8212057833934219E-2</c:v>
                </c:pt>
                <c:pt idx="177">
                  <c:v>9.8149388429724344E-2</c:v>
                </c:pt>
                <c:pt idx="178">
                  <c:v>9.8085881191373292E-2</c:v>
                </c:pt>
                <c:pt idx="179">
                  <c:v>9.8021556963899428E-2</c:v>
                </c:pt>
                <c:pt idx="180">
                  <c:v>9.7956436193506899E-2</c:v>
                </c:pt>
                <c:pt idx="181">
                  <c:v>9.7890538935645741E-2</c:v>
                </c:pt>
                <c:pt idx="182">
                  <c:v>9.7823884862888816E-2</c:v>
                </c:pt>
                <c:pt idx="183">
                  <c:v>9.7756493272630474E-2</c:v>
                </c:pt>
                <c:pt idx="184">
                  <c:v>9.7688383094611364E-2</c:v>
                </c:pt>
                <c:pt idx="185">
                  <c:v>9.7619572898273582E-2</c:v>
                </c:pt>
                <c:pt idx="186">
                  <c:v>9.7550080899950486E-2</c:v>
                </c:pt>
                <c:pt idx="187">
                  <c:v>9.7479924969895548E-2</c:v>
                </c:pt>
                <c:pt idx="188">
                  <c:v>9.740912263915355E-2</c:v>
                </c:pt>
                <c:pt idx="189">
                  <c:v>9.7337691106278865E-2</c:v>
                </c:pt>
                <c:pt idx="190">
                  <c:v>9.726564724390413E-2</c:v>
                </c:pt>
                <c:pt idx="191">
                  <c:v>9.7193007605162904E-2</c:v>
                </c:pt>
                <c:pt idx="192">
                  <c:v>9.7119788429970405E-2</c:v>
                </c:pt>
                <c:pt idx="193">
                  <c:v>9.7046005651165307E-2</c:v>
                </c:pt>
                <c:pt idx="194">
                  <c:v>9.6971674900516391E-2</c:v>
                </c:pt>
                <c:pt idx="195">
                  <c:v>9.6896811514597114E-2</c:v>
                </c:pt>
                <c:pt idx="196">
                  <c:v>9.6821430540531495E-2</c:v>
                </c:pt>
                <c:pt idx="197">
                  <c:v>9.6745546741614341E-2</c:v>
                </c:pt>
                <c:pt idx="198">
                  <c:v>9.6669174602809022E-2</c:v>
                </c:pt>
                <c:pt idx="199">
                  <c:v>9.6592328336125674E-2</c:v>
                </c:pt>
                <c:pt idx="200">
                  <c:v>9.6515021885882735E-2</c:v>
                </c:pt>
                <c:pt idx="201">
                  <c:v>9.6437268933854764E-2</c:v>
                </c:pt>
                <c:pt idx="202">
                  <c:v>9.6359082904309015E-2</c:v>
                </c:pt>
                <c:pt idx="203">
                  <c:v>9.6280476968933937E-2</c:v>
                </c:pt>
                <c:pt idx="204">
                  <c:v>9.6201464051661717E-2</c:v>
                </c:pt>
                <c:pt idx="205">
                  <c:v>9.6122056833387676E-2</c:v>
                </c:pt>
                <c:pt idx="206">
                  <c:v>9.6042267756589028E-2</c:v>
                </c:pt>
                <c:pt idx="207">
                  <c:v>9.5962109029845172E-2</c:v>
                </c:pt>
                <c:pt idx="208">
                  <c:v>9.5881592632262216E-2</c:v>
                </c:pt>
                <c:pt idx="209">
                  <c:v>9.5800730317803701E-2</c:v>
                </c:pt>
                <c:pt idx="210">
                  <c:v>9.5719533619530062E-2</c:v>
                </c:pt>
                <c:pt idx="211">
                  <c:v>9.5638013853748663E-2</c:v>
                </c:pt>
                <c:pt idx="212">
                  <c:v>9.5556182124076822E-2</c:v>
                </c:pt>
                <c:pt idx="213">
                  <c:v>9.547404932541971E-2</c:v>
                </c:pt>
                <c:pt idx="214">
                  <c:v>9.5391626147865338E-2</c:v>
                </c:pt>
                <c:pt idx="215">
                  <c:v>9.5308923080498181E-2</c:v>
                </c:pt>
                <c:pt idx="216">
                  <c:v>9.5225950415133903E-2</c:v>
                </c:pt>
                <c:pt idx="217">
                  <c:v>9.5142718249976554E-2</c:v>
                </c:pt>
                <c:pt idx="218">
                  <c:v>9.5059236493200416E-2</c:v>
                </c:pt>
                <c:pt idx="219">
                  <c:v>9.4975514866457902E-2</c:v>
                </c:pt>
                <c:pt idx="220">
                  <c:v>9.4891562908315644E-2</c:v>
                </c:pt>
                <c:pt idx="221">
                  <c:v>9.4807389977620088E-2</c:v>
                </c:pt>
                <c:pt idx="222">
                  <c:v>9.4723005256794418E-2</c:v>
                </c:pt>
                <c:pt idx="223">
                  <c:v>9.4638417755068316E-2</c:v>
                </c:pt>
                <c:pt idx="224">
                  <c:v>9.4553636311642264E-2</c:v>
                </c:pt>
                <c:pt idx="225">
                  <c:v>9.4468669598787636E-2</c:v>
                </c:pt>
                <c:pt idx="226">
                  <c:v>9.4383526124884223E-2</c:v>
                </c:pt>
                <c:pt idx="227">
                  <c:v>9.4298214237396788E-2</c:v>
                </c:pt>
                <c:pt idx="228">
                  <c:v>9.4212742125791615E-2</c:v>
                </c:pt>
                <c:pt idx="229">
                  <c:v>9.4127117824394785E-2</c:v>
                </c:pt>
                <c:pt idx="230">
                  <c:v>9.4041349215193512E-2</c:v>
                </c:pt>
                <c:pt idx="231">
                  <c:v>9.3955444030581425E-2</c:v>
                </c:pt>
                <c:pt idx="232">
                  <c:v>9.386940985604969E-2</c:v>
                </c:pt>
                <c:pt idx="233">
                  <c:v>9.3783254132824595E-2</c:v>
                </c:pt>
                <c:pt idx="234">
                  <c:v>9.3696984160453245E-2</c:v>
                </c:pt>
                <c:pt idx="235">
                  <c:v>9.3610607099338217E-2</c:v>
                </c:pt>
                <c:pt idx="236">
                  <c:v>9.3524129973222708E-2</c:v>
                </c:pt>
                <c:pt idx="237">
                  <c:v>9.3437559671626702E-2</c:v>
                </c:pt>
                <c:pt idx="238">
                  <c:v>9.3350902952235873E-2</c:v>
                </c:pt>
                <c:pt idx="239">
                  <c:v>9.3264166443243868E-2</c:v>
                </c:pt>
                <c:pt idx="240">
                  <c:v>9.3177356645649217E-2</c:v>
                </c:pt>
                <c:pt idx="241">
                  <c:v>9.3090479935507536E-2</c:v>
                </c:pt>
                <c:pt idx="242">
                  <c:v>9.3003542566140712E-2</c:v>
                </c:pt>
                <c:pt idx="243">
                  <c:v>9.2916550670303133E-2</c:v>
                </c:pt>
                <c:pt idx="244">
                  <c:v>9.2829510262306542E-2</c:v>
                </c:pt>
                <c:pt idx="245">
                  <c:v>9.2742427240104203E-2</c:v>
                </c:pt>
                <c:pt idx="246">
                  <c:v>9.2655307387335378E-2</c:v>
                </c:pt>
                <c:pt idx="247">
                  <c:v>9.2568156375330696E-2</c:v>
                </c:pt>
                <c:pt idx="248">
                  <c:v>9.2480979765079518E-2</c:v>
                </c:pt>
                <c:pt idx="249">
                  <c:v>9.2393783009160235E-2</c:v>
                </c:pt>
                <c:pt idx="250">
                  <c:v>9.2306571453633857E-2</c:v>
                </c:pt>
                <c:pt idx="251">
                  <c:v>9.2219350339902223E-2</c:v>
                </c:pt>
                <c:pt idx="252">
                  <c:v>9.2132124806531018E-2</c:v>
                </c:pt>
                <c:pt idx="253">
                  <c:v>9.2044899891039006E-2</c:v>
                </c:pt>
                <c:pt idx="254">
                  <c:v>9.1957680531653541E-2</c:v>
                </c:pt>
                <c:pt idx="255">
                  <c:v>9.1870471569033552E-2</c:v>
                </c:pt>
                <c:pt idx="256">
                  <c:v>9.1783277747960537E-2</c:v>
                </c:pt>
                <c:pt idx="257">
                  <c:v>9.169610371899814E-2</c:v>
                </c:pt>
                <c:pt idx="258">
                  <c:v>9.1608954040121121E-2</c:v>
                </c:pt>
                <c:pt idx="259">
                  <c:v>9.1521833178314305E-2</c:v>
                </c:pt>
                <c:pt idx="260">
                  <c:v>9.1434745511142196E-2</c:v>
                </c:pt>
                <c:pt idx="261">
                  <c:v>9.1347695328289694E-2</c:v>
                </c:pt>
                <c:pt idx="262">
                  <c:v>9.1260686833074811E-2</c:v>
                </c:pt>
                <c:pt idx="263">
                  <c:v>9.1173724143933682E-2</c:v>
                </c:pt>
                <c:pt idx="264">
                  <c:v>9.1086811295878617E-2</c:v>
                </c:pt>
                <c:pt idx="265">
                  <c:v>9.0999952241929666E-2</c:v>
                </c:pt>
                <c:pt idx="266">
                  <c:v>9.0913150854520397E-2</c:v>
                </c:pt>
                <c:pt idx="267">
                  <c:v>9.0826410926878112E-2</c:v>
                </c:pt>
                <c:pt idx="268">
                  <c:v>9.0739736174379415E-2</c:v>
                </c:pt>
                <c:pt idx="269">
                  <c:v>9.0653130235881313E-2</c:v>
                </c:pt>
                <c:pt idx="270">
                  <c:v>9.0566596675028546E-2</c:v>
                </c:pt>
                <c:pt idx="271">
                  <c:v>9.048013898153745E-2</c:v>
                </c:pt>
                <c:pt idx="272">
                  <c:v>9.0393760572457071E-2</c:v>
                </c:pt>
                <c:pt idx="273">
                  <c:v>9.030746479340783E-2</c:v>
                </c:pt>
                <c:pt idx="274">
                  <c:v>9.0221254919798072E-2</c:v>
                </c:pt>
                <c:pt idx="275">
                  <c:v>9.0135134158019367E-2</c:v>
                </c:pt>
                <c:pt idx="276">
                  <c:v>9.0049105646620359E-2</c:v>
                </c:pt>
                <c:pt idx="277">
                  <c:v>8.99631724574603E-2</c:v>
                </c:pt>
                <c:pt idx="278">
                  <c:v>8.9877337596842063E-2</c:v>
                </c:pt>
                <c:pt idx="279">
                  <c:v>8.9791604006625433E-2</c:v>
                </c:pt>
                <c:pt idx="280">
                  <c:v>8.970597456532084E-2</c:v>
                </c:pt>
                <c:pt idx="281">
                  <c:v>8.962045208916411E-2</c:v>
                </c:pt>
                <c:pt idx="282">
                  <c:v>8.9535039333172417E-2</c:v>
                </c:pt>
                <c:pt idx="283">
                  <c:v>8.9449738992181893E-2</c:v>
                </c:pt>
                <c:pt idx="284">
                  <c:v>8.9364553701867425E-2</c:v>
                </c:pt>
                <c:pt idx="285">
                  <c:v>8.9279486039744588E-2</c:v>
                </c:pt>
                <c:pt idx="286">
                  <c:v>8.9194538526154415E-2</c:v>
                </c:pt>
                <c:pt idx="287">
                  <c:v>8.9109713625231263E-2</c:v>
                </c:pt>
                <c:pt idx="288">
                  <c:v>8.9025013745853865E-2</c:v>
                </c:pt>
                <c:pt idx="289">
                  <c:v>8.8940441242580354E-2</c:v>
                </c:pt>
                <c:pt idx="290">
                  <c:v>8.8855998416567036E-2</c:v>
                </c:pt>
                <c:pt idx="291">
                  <c:v>8.8771687516471687E-2</c:v>
                </c:pt>
                <c:pt idx="292">
                  <c:v>8.8687510739341252E-2</c:v>
                </c:pt>
                <c:pt idx="293">
                  <c:v>8.860347023148471E-2</c:v>
                </c:pt>
                <c:pt idx="294">
                  <c:v>8.8519568089330855E-2</c:v>
                </c:pt>
                <c:pt idx="295">
                  <c:v>8.8435806360271818E-2</c:v>
                </c:pt>
                <c:pt idx="296">
                  <c:v>8.8352187043492181E-2</c:v>
                </c:pt>
                <c:pt idx="297">
                  <c:v>8.8268712090784074E-2</c:v>
                </c:pt>
                <c:pt idx="298">
                  <c:v>8.8185383407348703E-2</c:v>
                </c:pt>
                <c:pt idx="299">
                  <c:v>8.8102202852584299E-2</c:v>
                </c:pt>
                <c:pt idx="300">
                  <c:v>8.8019172240860921E-2</c:v>
                </c:pt>
                <c:pt idx="301">
                  <c:v>8.7936293342282229E-2</c:v>
                </c:pt>
                <c:pt idx="302">
                  <c:v>8.7853567883434569E-2</c:v>
                </c:pt>
                <c:pt idx="303">
                  <c:v>8.7770997548123633E-2</c:v>
                </c:pt>
                <c:pt idx="304">
                  <c:v>8.7688583978098672E-2</c:v>
                </c:pt>
                <c:pt idx="305">
                  <c:v>8.7606328773764869E-2</c:v>
                </c:pt>
                <c:pt idx="306">
                  <c:v>8.7524233494883849E-2</c:v>
                </c:pt>
                <c:pt idx="307">
                  <c:v>8.7442299661262518E-2</c:v>
                </c:pt>
                <c:pt idx="308">
                  <c:v>8.7360528753430519E-2</c:v>
                </c:pt>
                <c:pt idx="309">
                  <c:v>8.7278922213306687E-2</c:v>
                </c:pt>
                <c:pt idx="310">
                  <c:v>8.7197481444854258E-2</c:v>
                </c:pt>
                <c:pt idx="311">
                  <c:v>8.7116207814725483E-2</c:v>
                </c:pt>
                <c:pt idx="312">
                  <c:v>8.7035102652895643E-2</c:v>
                </c:pt>
                <c:pt idx="313">
                  <c:v>8.6954167253286557E-2</c:v>
                </c:pt>
                <c:pt idx="314">
                  <c:v>8.6873402874380085E-2</c:v>
                </c:pt>
                <c:pt idx="315">
                  <c:v>8.6792810739821258E-2</c:v>
                </c:pt>
                <c:pt idx="316">
                  <c:v>8.6712392039012029E-2</c:v>
                </c:pt>
                <c:pt idx="317">
                  <c:v>8.6632147927694955E-2</c:v>
                </c:pt>
                <c:pt idx="318">
                  <c:v>8.6552079528527545E-2</c:v>
                </c:pt>
                <c:pt idx="319">
                  <c:v>8.6472187931647293E-2</c:v>
                </c:pt>
                <c:pt idx="320">
                  <c:v>8.639247419522747E-2</c:v>
                </c:pt>
                <c:pt idx="321">
                  <c:v>8.631293934602402E-2</c:v>
                </c:pt>
                <c:pt idx="322">
                  <c:v>8.6233584379913325E-2</c:v>
                </c:pt>
                <c:pt idx="323">
                  <c:v>8.6154410262421793E-2</c:v>
                </c:pt>
                <c:pt idx="324">
                  <c:v>8.6075417929246278E-2</c:v>
                </c:pt>
                <c:pt idx="325">
                  <c:v>8.599660828676664E-2</c:v>
                </c:pt>
                <c:pt idx="326">
                  <c:v>8.5917982212549718E-2</c:v>
                </c:pt>
                <c:pt idx="327">
                  <c:v>8.5839540555845334E-2</c:v>
                </c:pt>
                <c:pt idx="328">
                  <c:v>8.5761284138074295E-2</c:v>
                </c:pt>
                <c:pt idx="329">
                  <c:v>8.568321375330859E-2</c:v>
                </c:pt>
                <c:pt idx="330">
                  <c:v>8.5605330168743859E-2</c:v>
                </c:pt>
                <c:pt idx="331">
                  <c:v>8.552763412516437E-2</c:v>
                </c:pt>
                <c:pt idx="332">
                  <c:v>8.5450126337400387E-2</c:v>
                </c:pt>
                <c:pt idx="333">
                  <c:v>8.5372807494778463E-2</c:v>
                </c:pt>
                <c:pt idx="334">
                  <c:v>8.5295678261564367E-2</c:v>
                </c:pt>
                <c:pt idx="335">
                  <c:v>8.5218739277399078E-2</c:v>
                </c:pt>
                <c:pt idx="336">
                  <c:v>8.5141991157727664E-2</c:v>
                </c:pt>
                <c:pt idx="337">
                  <c:v>8.506543449422152E-2</c:v>
                </c:pt>
                <c:pt idx="338">
                  <c:v>8.4989069855193833E-2</c:v>
                </c:pt>
                <c:pt idx="339">
                  <c:v>8.4912897786008384E-2</c:v>
                </c:pt>
                <c:pt idx="340">
                  <c:v>8.4836918809481909E-2</c:v>
                </c:pt>
                <c:pt idx="341">
                  <c:v>8.4761133426280111E-2</c:v>
                </c:pt>
                <c:pt idx="342">
                  <c:v>8.4685542115307363E-2</c:v>
                </c:pt>
                <c:pt idx="343">
                  <c:v>8.4610145334090212E-2</c:v>
                </c:pt>
                <c:pt idx="344">
                  <c:v>8.4534943519154887E-2</c:v>
                </c:pt>
                <c:pt idx="345">
                  <c:v>8.4459937086398776E-2</c:v>
                </c:pt>
                <c:pt idx="346">
                  <c:v>8.438512643145607E-2</c:v>
                </c:pt>
                <c:pt idx="347">
                  <c:v>8.4310511930057633E-2</c:v>
                </c:pt>
                <c:pt idx="348">
                  <c:v>8.4236093938385201E-2</c:v>
                </c:pt>
                <c:pt idx="349">
                  <c:v>8.4161872793419898E-2</c:v>
                </c:pt>
                <c:pt idx="350">
                  <c:v>8.4087848813285487E-2</c:v>
                </c:pt>
                <c:pt idx="351">
                  <c:v>8.4014022297585922E-2</c:v>
                </c:pt>
                <c:pt idx="352">
                  <c:v>8.3940393527737897E-2</c:v>
                </c:pt>
                <c:pt idx="353">
                  <c:v>8.3866962767297867E-2</c:v>
                </c:pt>
                <c:pt idx="354">
                  <c:v>8.3793730262284136E-2</c:v>
                </c:pt>
                <c:pt idx="355">
                  <c:v>8.3720696241493822E-2</c:v>
                </c:pt>
                <c:pt idx="356">
                  <c:v>8.3647860916814795E-2</c:v>
                </c:pt>
                <c:pt idx="357">
                  <c:v>8.3575224483532828E-2</c:v>
                </c:pt>
                <c:pt idx="358">
                  <c:v>8.3502787120633748E-2</c:v>
                </c:pt>
                <c:pt idx="359">
                  <c:v>8.3430548991101056E-2</c:v>
                </c:pt>
                <c:pt idx="360">
                  <c:v>8.335851024220875E-2</c:v>
                </c:pt>
                <c:pt idx="361">
                  <c:v>8.3286671005809568E-2</c:v>
                </c:pt>
                <c:pt idx="362">
                  <c:v>8.3215031398618716E-2</c:v>
                </c:pt>
                <c:pt idx="363">
                  <c:v>8.3143591522493246E-2</c:v>
                </c:pt>
                <c:pt idx="364">
                  <c:v>8.3072351464706859E-2</c:v>
                </c:pt>
                <c:pt idx="365">
                  <c:v>8.3001311298220637E-2</c:v>
                </c:pt>
                <c:pt idx="366">
                  <c:v>8.2930471081949314E-2</c:v>
                </c:pt>
                <c:pt idx="367">
                  <c:v>8.2859830861023567E-2</c:v>
                </c:pt>
                <c:pt idx="368">
                  <c:v>8.2789390667048046E-2</c:v>
                </c:pt>
                <c:pt idx="369">
                  <c:v>8.2719150518355544E-2</c:v>
                </c:pt>
                <c:pt idx="370">
                  <c:v>8.2649110420256924E-2</c:v>
                </c:pt>
                <c:pt idx="371">
                  <c:v>8.2579270365287408E-2</c:v>
                </c:pt>
                <c:pt idx="372">
                  <c:v>8.2509630333448866E-2</c:v>
                </c:pt>
                <c:pt idx="373">
                  <c:v>8.2440190292448326E-2</c:v>
                </c:pt>
                <c:pt idx="374">
                  <c:v>8.2370950197932793E-2</c:v>
                </c:pt>
                <c:pt idx="375">
                  <c:v>8.2301909993720321E-2</c:v>
                </c:pt>
                <c:pt idx="376">
                  <c:v>8.2233069612027532E-2</c:v>
                </c:pt>
                <c:pt idx="377">
                  <c:v>8.2164428973693582E-2</c:v>
                </c:pt>
                <c:pt idx="378">
                  <c:v>8.2095987988400593E-2</c:v>
                </c:pt>
                <c:pt idx="379">
                  <c:v>8.2027746554890563E-2</c:v>
                </c:pt>
                <c:pt idx="380">
                  <c:v>8.1959704561179014E-2</c:v>
                </c:pt>
                <c:pt idx="381">
                  <c:v>8.1891861884765216E-2</c:v>
                </c:pt>
                <c:pt idx="382">
                  <c:v>8.1824218392839182E-2</c:v>
                </c:pt>
                <c:pt idx="383">
                  <c:v>8.1756773942485192E-2</c:v>
                </c:pt>
                <c:pt idx="384">
                  <c:v>8.1689528380882531E-2</c:v>
                </c:pt>
                <c:pt idx="385">
                  <c:v>8.1622481545502695E-2</c:v>
                </c:pt>
                <c:pt idx="386">
                  <c:v>8.1555633264303734E-2</c:v>
                </c:pt>
                <c:pt idx="387">
                  <c:v>8.1488983355921404E-2</c:v>
                </c:pt>
                <c:pt idx="388">
                  <c:v>8.1422531629857436E-2</c:v>
                </c:pt>
                <c:pt idx="389">
                  <c:v>8.1356277886664857E-2</c:v>
                </c:pt>
                <c:pt idx="390">
                  <c:v>8.1290221918130151E-2</c:v>
                </c:pt>
                <c:pt idx="391">
                  <c:v>8.1224363507453004E-2</c:v>
                </c:pt>
                <c:pt idx="392">
                  <c:v>8.1158702429422719E-2</c:v>
                </c:pt>
                <c:pt idx="393">
                  <c:v>8.1093238450592298E-2</c:v>
                </c:pt>
                <c:pt idx="394">
                  <c:v>8.1027971329449472E-2</c:v>
                </c:pt>
                <c:pt idx="395">
                  <c:v>8.0962900816585193E-2</c:v>
                </c:pt>
                <c:pt idx="396">
                  <c:v>8.0898026654859456E-2</c:v>
                </c:pt>
                <c:pt idx="397">
                  <c:v>8.0833348579564424E-2</c:v>
                </c:pt>
                <c:pt idx="398">
                  <c:v>8.0768866318585139E-2</c:v>
                </c:pt>
                <c:pt idx="399">
                  <c:v>8.0704579592557446E-2</c:v>
                </c:pt>
                <c:pt idx="400">
                  <c:v>8.0640488115023765E-2</c:v>
                </c:pt>
                <c:pt idx="401">
                  <c:v>8.0576591592586011E-2</c:v>
                </c:pt>
                <c:pt idx="402">
                  <c:v>8.0512889725056463E-2</c:v>
                </c:pt>
                <c:pt idx="403">
                  <c:v>8.0449382205605963E-2</c:v>
                </c:pt>
                <c:pt idx="404">
                  <c:v>8.0386068720909878E-2</c:v>
                </c:pt>
                <c:pt idx="405">
                  <c:v>8.032294895129187E-2</c:v>
                </c:pt>
                <c:pt idx="406">
                  <c:v>8.0260022570865105E-2</c:v>
                </c:pt>
                <c:pt idx="407">
                  <c:v>8.0197289247671472E-2</c:v>
                </c:pt>
                <c:pt idx="408">
                  <c:v>8.0134748643818449E-2</c:v>
                </c:pt>
                <c:pt idx="409">
                  <c:v>8.0072400415613892E-2</c:v>
                </c:pt>
                <c:pt idx="410">
                  <c:v>8.0010244213698539E-2</c:v>
                </c:pt>
                <c:pt idx="411">
                  <c:v>7.9948279683176582E-2</c:v>
                </c:pt>
                <c:pt idx="412">
                  <c:v>7.9886506463743942E-2</c:v>
                </c:pt>
                <c:pt idx="413">
                  <c:v>7.9824924189814725E-2</c:v>
                </c:pt>
                <c:pt idx="414">
                  <c:v>7.9763532490645453E-2</c:v>
                </c:pt>
                <c:pt idx="415">
                  <c:v>7.970233099045744E-2</c:v>
                </c:pt>
                <c:pt idx="416">
                  <c:v>7.9641319308557154E-2</c:v>
                </c:pt>
                <c:pt idx="417">
                  <c:v>7.9580497059454663E-2</c:v>
                </c:pt>
                <c:pt idx="418">
                  <c:v>7.9519863852980127E-2</c:v>
                </c:pt>
                <c:pt idx="419">
                  <c:v>7.9459419294398523E-2</c:v>
                </c:pt>
                <c:pt idx="420">
                  <c:v>7.9399162984522431E-2</c:v>
                </c:pt>
                <c:pt idx="421">
                  <c:v>7.9339094519823045E-2</c:v>
                </c:pt>
                <c:pt idx="422">
                  <c:v>7.9279213492539358E-2</c:v>
                </c:pt>
                <c:pt idx="423">
                  <c:v>7.9219519490785609E-2</c:v>
                </c:pt>
                <c:pt idx="424">
                  <c:v>7.9160012098657015E-2</c:v>
                </c:pt>
                <c:pt idx="425">
                  <c:v>7.9100690896333731E-2</c:v>
                </c:pt>
                <c:pt idx="426">
                  <c:v>7.9041555460183169E-2</c:v>
                </c:pt>
                <c:pt idx="427">
                  <c:v>7.8982605362860642E-2</c:v>
                </c:pt>
                <c:pt idx="428">
                  <c:v>7.8923840173408366E-2</c:v>
                </c:pt>
                <c:pt idx="429">
                  <c:v>7.8865259457352857E-2</c:v>
                </c:pt>
                <c:pt idx="430">
                  <c:v>7.8806862776800699E-2</c:v>
                </c:pt>
                <c:pt idx="431">
                  <c:v>7.8748649690532829E-2</c:v>
                </c:pt>
                <c:pt idx="432">
                  <c:v>7.8690619754097219E-2</c:v>
                </c:pt>
                <c:pt idx="433">
                  <c:v>7.8632772519900002E-2</c:v>
                </c:pt>
                <c:pt idx="434">
                  <c:v>7.8575107537295269E-2</c:v>
                </c:pt>
                <c:pt idx="435">
                  <c:v>7.8517624352673121E-2</c:v>
                </c:pt>
                <c:pt idx="436">
                  <c:v>7.8460322509546515E-2</c:v>
                </c:pt>
                <c:pt idx="437">
                  <c:v>7.8403201548636572E-2</c:v>
                </c:pt>
                <c:pt idx="438">
                  <c:v>7.8346261007956455E-2</c:v>
                </c:pt>
                <c:pt idx="439">
                  <c:v>7.8289500422893926E-2</c:v>
                </c:pt>
                <c:pt idx="440">
                  <c:v>7.8232919326292463E-2</c:v>
                </c:pt>
                <c:pt idx="441">
                  <c:v>7.8176517248531086E-2</c:v>
                </c:pt>
                <c:pt idx="442">
                  <c:v>7.8120293717602776E-2</c:v>
                </c:pt>
                <c:pt idx="443">
                  <c:v>7.8064248259191768E-2</c:v>
                </c:pt>
                <c:pt idx="444">
                  <c:v>7.8008380396749261E-2</c:v>
                </c:pt>
                <c:pt idx="445">
                  <c:v>7.7952689651568124E-2</c:v>
                </c:pt>
                <c:pt idx="446">
                  <c:v>7.7897175542856245E-2</c:v>
                </c:pt>
                <c:pt idx="447">
                  <c:v>7.7841837587808632E-2</c:v>
                </c:pt>
                <c:pt idx="448">
                  <c:v>7.7786675301678293E-2</c:v>
                </c:pt>
                <c:pt idx="449">
                  <c:v>7.7731688197845983E-2</c:v>
                </c:pt>
                <c:pt idx="450">
                  <c:v>7.7676875787888691E-2</c:v>
                </c:pt>
                <c:pt idx="451">
                  <c:v>7.7622237581647102E-2</c:v>
                </c:pt>
                <c:pt idx="452">
                  <c:v>7.7567773087291653E-2</c:v>
                </c:pt>
                <c:pt idx="453">
                  <c:v>7.7513481811387813E-2</c:v>
                </c:pt>
                <c:pt idx="454">
                  <c:v>7.745936325895994E-2</c:v>
                </c:pt>
                <c:pt idx="455">
                  <c:v>7.7405416933554183E-2</c:v>
                </c:pt>
                <c:pt idx="456">
                  <c:v>7.7351642337300394E-2</c:v>
                </c:pt>
                <c:pt idx="457">
                  <c:v>7.7298038970972732E-2</c:v>
                </c:pt>
                <c:pt idx="458">
                  <c:v>7.724460633404949E-2</c:v>
                </c:pt>
                <c:pt idx="459">
                  <c:v>7.7191343924771672E-2</c:v>
                </c:pt>
                <c:pt idx="460">
                  <c:v>7.7138251240200698E-2</c:v>
                </c:pt>
                <c:pt idx="461">
                  <c:v>7.7085327776275081E-2</c:v>
                </c:pt>
                <c:pt idx="462">
                  <c:v>7.703257302786605E-2</c:v>
                </c:pt>
                <c:pt idx="463">
                  <c:v>7.6979986488832267E-2</c:v>
                </c:pt>
                <c:pt idx="464">
                  <c:v>7.6927567652073564E-2</c:v>
                </c:pt>
                <c:pt idx="465">
                  <c:v>7.687531600958375E-2</c:v>
                </c:pt>
                <c:pt idx="466">
                  <c:v>7.6823231052502494E-2</c:v>
                </c:pt>
                <c:pt idx="467">
                  <c:v>7.6771312271166237E-2</c:v>
                </c:pt>
                <c:pt idx="468">
                  <c:v>7.6719559155158309E-2</c:v>
                </c:pt>
                <c:pt idx="469">
                  <c:v>7.6667971193358053E-2</c:v>
                </c:pt>
                <c:pt idx="470">
                  <c:v>7.661654787398911E-2</c:v>
                </c:pt>
                <c:pt idx="471">
                  <c:v>7.6565288684666888E-2</c:v>
                </c:pt>
                <c:pt idx="472">
                  <c:v>7.6514193112445131E-2</c:v>
                </c:pt>
                <c:pt idx="473">
                  <c:v>7.6463260643861664E-2</c:v>
                </c:pt>
                <c:pt idx="474">
                  <c:v>7.6412490764983271E-2</c:v>
                </c:pt>
                <c:pt idx="475">
                  <c:v>7.6361882961449939E-2</c:v>
                </c:pt>
                <c:pt idx="476">
                  <c:v>7.6311436718517978E-2</c:v>
                </c:pt>
                <c:pt idx="477">
                  <c:v>7.6261151521102716E-2</c:v>
                </c:pt>
                <c:pt idx="478">
                  <c:v>7.6211026853820182E-2</c:v>
                </c:pt>
                <c:pt idx="479">
                  <c:v>7.6161062201028085E-2</c:v>
                </c:pt>
                <c:pt idx="480">
                  <c:v>7.6111257046866054E-2</c:v>
                </c:pt>
                <c:pt idx="481">
                  <c:v>7.6061610875295158E-2</c:v>
                </c:pt>
                <c:pt idx="482">
                  <c:v>7.6012123170136614E-2</c:v>
                </c:pt>
                <c:pt idx="483">
                  <c:v>7.5962793415109905E-2</c:v>
                </c:pt>
                <c:pt idx="484">
                  <c:v>7.5913621093870023E-2</c:v>
                </c:pt>
                <c:pt idx="485">
                  <c:v>7.5864605690044232E-2</c:v>
                </c:pt>
                <c:pt idx="486">
                  <c:v>7.5815746687267871E-2</c:v>
                </c:pt>
                <c:pt idx="487">
                  <c:v>7.5767043569219761E-2</c:v>
                </c:pt>
                <c:pt idx="488">
                  <c:v>7.5718495819656728E-2</c:v>
                </c:pt>
                <c:pt idx="489">
                  <c:v>7.5670102922447607E-2</c:v>
                </c:pt>
                <c:pt idx="490">
                  <c:v>7.5621864361606478E-2</c:v>
                </c:pt>
                <c:pt idx="491">
                  <c:v>7.5573779621325402E-2</c:v>
                </c:pt>
                <c:pt idx="492">
                  <c:v>7.5525848186006453E-2</c:v>
                </c:pt>
                <c:pt idx="493">
                  <c:v>7.5478069540293097E-2</c:v>
                </c:pt>
                <c:pt idx="494">
                  <c:v>7.5430443169101025E-2</c:v>
                </c:pt>
                <c:pt idx="495">
                  <c:v>7.5382968557648394E-2</c:v>
                </c:pt>
                <c:pt idx="496">
                  <c:v>7.5335645191485404E-2</c:v>
                </c:pt>
                <c:pt idx="497">
                  <c:v>7.5288472556523378E-2</c:v>
                </c:pt>
                <c:pt idx="498">
                  <c:v>7.5241450139063235E-2</c:v>
                </c:pt>
                <c:pt idx="499">
                  <c:v>7.5194577425823347E-2</c:v>
                </c:pt>
                <c:pt idx="500">
                  <c:v>7.5147853903966944E-2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6A7-4DF5-8F3D-D1A449633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4706112"/>
        <c:axId val="1644689792"/>
      </c:lineChart>
      <c:catAx>
        <c:axId val="1644706112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689792"/>
        <c:crosses val="autoZero"/>
        <c:auto val="1"/>
        <c:lblAlgn val="ctr"/>
        <c:lblOffset val="100"/>
        <c:tickLblSkip val="20"/>
        <c:tickMarkSkip val="10"/>
        <c:noMultiLvlLbl val="0"/>
      </c:catAx>
      <c:valAx>
        <c:axId val="164468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706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Fitted Spot and Forward yield curves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NSS!$J$250:$K$250</c:f>
              <c:strCache>
                <c:ptCount val="2"/>
                <c:pt idx="0">
                  <c:v>Forward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NSS!$L$2:$CK$2</c:f>
              <c:numCache>
                <c:formatCode>General</c:formatCode>
                <c:ptCount val="78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</c:v>
                </c:pt>
                <c:pt idx="48">
                  <c:v>24.5</c:v>
                </c:pt>
                <c:pt idx="49">
                  <c:v>25</c:v>
                </c:pt>
                <c:pt idx="50">
                  <c:v>25.5</c:v>
                </c:pt>
                <c:pt idx="51">
                  <c:v>26</c:v>
                </c:pt>
                <c:pt idx="52">
                  <c:v>26.5</c:v>
                </c:pt>
                <c:pt idx="53">
                  <c:v>27</c:v>
                </c:pt>
                <c:pt idx="54">
                  <c:v>27.5</c:v>
                </c:pt>
                <c:pt idx="55">
                  <c:v>28</c:v>
                </c:pt>
                <c:pt idx="56">
                  <c:v>28.5</c:v>
                </c:pt>
                <c:pt idx="57">
                  <c:v>29</c:v>
                </c:pt>
                <c:pt idx="58">
                  <c:v>29.5</c:v>
                </c:pt>
                <c:pt idx="59">
                  <c:v>30</c:v>
                </c:pt>
                <c:pt idx="60">
                  <c:v>30.5</c:v>
                </c:pt>
                <c:pt idx="61">
                  <c:v>31</c:v>
                </c:pt>
                <c:pt idx="62">
                  <c:v>31.5</c:v>
                </c:pt>
                <c:pt idx="63">
                  <c:v>32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</c:numCache>
            </c:numRef>
          </c:xVal>
          <c:yVal>
            <c:numRef>
              <c:f>NSS!$L$250:$CK$250</c:f>
              <c:numCache>
                <c:formatCode>0.00%</c:formatCode>
                <c:ptCount val="78"/>
                <c:pt idx="2">
                  <c:v>1.8405349705237883E-2</c:v>
                </c:pt>
                <c:pt idx="3">
                  <c:v>2.0709832194344635E-2</c:v>
                </c:pt>
                <c:pt idx="4">
                  <c:v>2.2480708118509884E-2</c:v>
                </c:pt>
                <c:pt idx="5">
                  <c:v>2.4166244816891114E-2</c:v>
                </c:pt>
                <c:pt idx="6">
                  <c:v>2.5769725368030683E-2</c:v>
                </c:pt>
                <c:pt idx="7">
                  <c:v>2.7294325827311949E-2</c:v>
                </c:pt>
                <c:pt idx="8">
                  <c:v>2.8743117789756578E-2</c:v>
                </c:pt>
                <c:pt idx="9">
                  <c:v>3.0119070962416172E-2</c:v>
                </c:pt>
                <c:pt idx="10">
                  <c:v>3.142505573852894E-2</c:v>
                </c:pt>
                <c:pt idx="11">
                  <c:v>3.2663845766382371E-2</c:v>
                </c:pt>
                <c:pt idx="12">
                  <c:v>3.3838120506629821E-2</c:v>
                </c:pt>
                <c:pt idx="13">
                  <c:v>3.4950467772458138E-2</c:v>
                </c:pt>
                <c:pt idx="14">
                  <c:v>3.6003386247642988E-2</c:v>
                </c:pt>
                <c:pt idx="15">
                  <c:v>3.6999287978162432E-2</c:v>
                </c:pt>
                <c:pt idx="16">
                  <c:v>3.7940500833491875E-2</c:v>
                </c:pt>
                <c:pt idx="17">
                  <c:v>3.8829270934226168E-2</c:v>
                </c:pt>
                <c:pt idx="18">
                  <c:v>3.9667765043152059E-2</c:v>
                </c:pt>
                <c:pt idx="19">
                  <c:v>4.0458072917247456E-2</c:v>
                </c:pt>
                <c:pt idx="20">
                  <c:v>4.1202209618476759E-2</c:v>
                </c:pt>
                <c:pt idx="21">
                  <c:v>4.1902117781557946E-2</c:v>
                </c:pt>
                <c:pt idx="22">
                  <c:v>4.255966983727566E-2</c:v>
                </c:pt>
                <c:pt idx="23">
                  <c:v>4.3176670190047339E-2</c:v>
                </c:pt>
                <c:pt idx="24">
                  <c:v>4.3754857348807352E-2</c:v>
                </c:pt>
                <c:pt idx="25">
                  <c:v>4.4295906010516362E-2</c:v>
                </c:pt>
                <c:pt idx="26">
                  <c:v>4.4801429095675971E-2</c:v>
                </c:pt>
                <c:pt idx="27">
                  <c:v>4.5272979735556218E-2</c:v>
                </c:pt>
                <c:pt idx="28">
                  <c:v>4.5712053210945625E-2</c:v>
                </c:pt>
                <c:pt idx="29">
                  <c:v>4.6120088842386719E-2</c:v>
                </c:pt>
                <c:pt idx="30">
                  <c:v>4.6498471831991406E-2</c:v>
                </c:pt>
                <c:pt idx="31">
                  <c:v>4.6848535057038676E-2</c:v>
                </c:pt>
                <c:pt idx="32">
                  <c:v>4.7171560815723046E-2</c:v>
                </c:pt>
                <c:pt idx="33">
                  <c:v>4.7468782525424968E-2</c:v>
                </c:pt>
                <c:pt idx="34">
                  <c:v>4.7741386374017036E-2</c:v>
                </c:pt>
                <c:pt idx="35">
                  <c:v>4.7990512924780404E-2</c:v>
                </c:pt>
                <c:pt idx="36">
                  <c:v>4.8217258675573804E-2</c:v>
                </c:pt>
                <c:pt idx="37">
                  <c:v>4.8422677572943496E-2</c:v>
                </c:pt>
                <c:pt idx="38">
                  <c:v>4.8607782481843165E-2</c:v>
                </c:pt>
                <c:pt idx="39">
                  <c:v>4.8773546611856622E-2</c:v>
                </c:pt>
                <c:pt idx="40">
                  <c:v>4.8920904900681128E-2</c:v>
                </c:pt>
                <c:pt idx="41">
                  <c:v>4.9050755355618536E-2</c:v>
                </c:pt>
                <c:pt idx="42">
                  <c:v>4.9163960354080327E-2</c:v>
                </c:pt>
                <c:pt idx="43">
                  <c:v>4.9261347903952535E-2</c:v>
                </c:pt>
                <c:pt idx="44">
                  <c:v>4.9343712864562184E-2</c:v>
                </c:pt>
                <c:pt idx="45">
                  <c:v>4.9411818129373453E-2</c:v>
                </c:pt>
                <c:pt idx="46">
                  <c:v>4.9466395771152083E-2</c:v>
                </c:pt>
                <c:pt idx="47">
                  <c:v>4.9508148150575026E-2</c:v>
                </c:pt>
                <c:pt idx="48">
                  <c:v>4.9537748989215036E-2</c:v>
                </c:pt>
                <c:pt idx="49">
                  <c:v>4.955584440771843E-2</c:v>
                </c:pt>
                <c:pt idx="50">
                  <c:v>4.9563053930248735E-2</c:v>
                </c:pt>
                <c:pt idx="51">
                  <c:v>4.9559971455874097E-2</c:v>
                </c:pt>
                <c:pt idx="52">
                  <c:v>4.9547166197970505E-2</c:v>
                </c:pt>
                <c:pt idx="53">
                  <c:v>4.9525183592479483E-2</c:v>
                </c:pt>
                <c:pt idx="54">
                  <c:v>4.949454617579474E-2</c:v>
                </c:pt>
                <c:pt idx="55">
                  <c:v>4.945575443327499E-2</c:v>
                </c:pt>
                <c:pt idx="56">
                  <c:v>4.9409287619135434E-2</c:v>
                </c:pt>
                <c:pt idx="57">
                  <c:v>4.9355604548574128E-2</c:v>
                </c:pt>
                <c:pt idx="58">
                  <c:v>4.929514436296123E-2</c:v>
                </c:pt>
                <c:pt idx="59">
                  <c:v>4.9228327268891592E-2</c:v>
                </c:pt>
                <c:pt idx="60">
                  <c:v>4.9155555251864103E-2</c:v>
                </c:pt>
                <c:pt idx="61">
                  <c:v>4.9077212765361589E-2</c:v>
                </c:pt>
                <c:pt idx="62">
                  <c:v>4.8993667396152185E-2</c:v>
                </c:pt>
                <c:pt idx="63">
                  <c:v>4.890527050641591E-2</c:v>
                </c:pt>
                <c:pt idx="64">
                  <c:v>4.8812357853530663E-2</c:v>
                </c:pt>
                <c:pt idx="65">
                  <c:v>4.8715250188222647E-2</c:v>
                </c:pt>
                <c:pt idx="66">
                  <c:v>4.8614253831616772E-2</c:v>
                </c:pt>
                <c:pt idx="67">
                  <c:v>4.8509661232060797E-2</c:v>
                </c:pt>
                <c:pt idx="68">
                  <c:v>4.8401751502257229E-2</c:v>
                </c:pt>
                <c:pt idx="69">
                  <c:v>4.8290790937326911E-2</c:v>
                </c:pt>
                <c:pt idx="70">
                  <c:v>4.8177033514453127E-2</c:v>
                </c:pt>
                <c:pt idx="71">
                  <c:v>4.8060721374758142E-2</c:v>
                </c:pt>
                <c:pt idx="72">
                  <c:v>4.7942085287886238E-2</c:v>
                </c:pt>
                <c:pt idx="73">
                  <c:v>4.7821345099928081E-2</c:v>
                </c:pt>
                <c:pt idx="74">
                  <c:v>4.769871016529148E-2</c:v>
                </c:pt>
                <c:pt idx="75">
                  <c:v>4.7574379762868491E-2</c:v>
                </c:pt>
                <c:pt idx="76">
                  <c:v>4.744854349728711E-2</c:v>
                </c:pt>
                <c:pt idx="77">
                  <c:v>4.7321381685502928E-2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DE-4599-A737-E1263D71ABA3}"/>
            </c:ext>
          </c:extLst>
        </c:ser>
        <c:ser>
          <c:idx val="1"/>
          <c:order val="1"/>
          <c:tx>
            <c:strRef>
              <c:f>NSS!$K$248</c:f>
              <c:strCache>
                <c:ptCount val="1"/>
                <c:pt idx="0">
                  <c:v>Spot</c:v>
                </c:pt>
              </c:strCache>
            </c:strRef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NSS!$L$2:$CK$2</c:f>
              <c:numCache>
                <c:formatCode>General</c:formatCode>
                <c:ptCount val="78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</c:v>
                </c:pt>
                <c:pt idx="48">
                  <c:v>24.5</c:v>
                </c:pt>
                <c:pt idx="49">
                  <c:v>25</c:v>
                </c:pt>
                <c:pt idx="50">
                  <c:v>25.5</c:v>
                </c:pt>
                <c:pt idx="51">
                  <c:v>26</c:v>
                </c:pt>
                <c:pt idx="52">
                  <c:v>26.5</c:v>
                </c:pt>
                <c:pt idx="53">
                  <c:v>27</c:v>
                </c:pt>
                <c:pt idx="54">
                  <c:v>27.5</c:v>
                </c:pt>
                <c:pt idx="55">
                  <c:v>28</c:v>
                </c:pt>
                <c:pt idx="56">
                  <c:v>28.5</c:v>
                </c:pt>
                <c:pt idx="57">
                  <c:v>29</c:v>
                </c:pt>
                <c:pt idx="58">
                  <c:v>29.5</c:v>
                </c:pt>
                <c:pt idx="59">
                  <c:v>30</c:v>
                </c:pt>
                <c:pt idx="60">
                  <c:v>30.5</c:v>
                </c:pt>
                <c:pt idx="61">
                  <c:v>31</c:v>
                </c:pt>
                <c:pt idx="62">
                  <c:v>31.5</c:v>
                </c:pt>
                <c:pt idx="63">
                  <c:v>32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</c:numCache>
            </c:numRef>
          </c:xVal>
          <c:yVal>
            <c:numRef>
              <c:f>NSS!$L$248:$CK$248</c:f>
              <c:numCache>
                <c:formatCode>0.00%</c:formatCode>
                <c:ptCount val="78"/>
                <c:pt idx="0">
                  <c:v>1.6787222526608105E-2</c:v>
                </c:pt>
                <c:pt idx="1">
                  <c:v>1.6898380000111735E-2</c:v>
                </c:pt>
                <c:pt idx="2">
                  <c:v>1.7865688058249389E-2</c:v>
                </c:pt>
                <c:pt idx="3">
                  <c:v>1.8802323715751423E-2</c:v>
                </c:pt>
                <c:pt idx="4">
                  <c:v>1.9709191186969871E-2</c:v>
                </c:pt>
                <c:pt idx="5">
                  <c:v>2.0587168711067888E-2</c:v>
                </c:pt>
                <c:pt idx="6">
                  <c:v>2.1437109289184651E-2</c:v>
                </c:pt>
                <c:pt idx="7">
                  <c:v>2.2259841400819387E-2</c:v>
                </c:pt>
                <c:pt idx="8">
                  <c:v>2.3056169700017514E-2</c:v>
                </c:pt>
                <c:pt idx="9">
                  <c:v>2.3826875691926739E-2</c:v>
                </c:pt>
                <c:pt idx="10">
                  <c:v>2.4572718390273661E-2</c:v>
                </c:pt>
                <c:pt idx="11">
                  <c:v>2.5294434956297119E-2</c:v>
                </c:pt>
                <c:pt idx="12">
                  <c:v>2.5992741319658862E-2</c:v>
                </c:pt>
                <c:pt idx="13">
                  <c:v>2.6668332781837681E-2</c:v>
                </c:pt>
                <c:pt idx="14">
                  <c:v>2.732188460249934E-2</c:v>
                </c:pt>
                <c:pt idx="15">
                  <c:v>2.7954052569320126E-2</c:v>
                </c:pt>
                <c:pt idx="16">
                  <c:v>2.856547355172917E-2</c:v>
                </c:pt>
                <c:pt idx="17">
                  <c:v>2.9156766039021259E-2</c:v>
                </c:pt>
                <c:pt idx="18">
                  <c:v>2.9728530663279264E-2</c:v>
                </c:pt>
                <c:pt idx="19">
                  <c:v>3.0281350707533117E-2</c:v>
                </c:pt>
                <c:pt idx="20">
                  <c:v>3.0815792599570152E-2</c:v>
                </c:pt>
                <c:pt idx="21">
                  <c:v>3.1332406391800238E-2</c:v>
                </c:pt>
                <c:pt idx="22">
                  <c:v>3.1831726227567414E-2</c:v>
                </c:pt>
                <c:pt idx="23">
                  <c:v>3.2314270794289342E-2</c:v>
                </c:pt>
                <c:pt idx="24">
                  <c:v>3.278054376379462E-2</c:v>
                </c:pt>
                <c:pt idx="25">
                  <c:v>3.3231034220218045E-2</c:v>
                </c:pt>
                <c:pt idx="26">
                  <c:v>3.3666217075803542E-2</c:v>
                </c:pt>
                <c:pt idx="27">
                  <c:v>3.4086553474955011E-2</c:v>
                </c:pt>
                <c:pt idx="28">
                  <c:v>3.4492491186865343E-2</c:v>
                </c:pt>
                <c:pt idx="29">
                  <c:v>3.4884464987045047E-2</c:v>
                </c:pt>
                <c:pt idx="30">
                  <c:v>3.5262897028062616E-2</c:v>
                </c:pt>
                <c:pt idx="31">
                  <c:v>3.5628197199800135E-2</c:v>
                </c:pt>
                <c:pt idx="32">
                  <c:v>3.5980763479519159E-2</c:v>
                </c:pt>
                <c:pt idx="33">
                  <c:v>3.6320982272023482E-2</c:v>
                </c:pt>
                <c:pt idx="34">
                  <c:v>3.6649228740197506E-2</c:v>
                </c:pt>
                <c:pt idx="35">
                  <c:v>3.6965867126191113E-2</c:v>
                </c:pt>
                <c:pt idx="36">
                  <c:v>3.7271251063514074E-2</c:v>
                </c:pt>
                <c:pt idx="37">
                  <c:v>3.7565723880296185E-2</c:v>
                </c:pt>
                <c:pt idx="38">
                  <c:v>3.7849618893961601E-2</c:v>
                </c:pt>
                <c:pt idx="39">
                  <c:v>3.8123259697559003E-2</c:v>
                </c:pt>
                <c:pt idx="40">
                  <c:v>3.8386960437982925E-2</c:v>
                </c:pt>
                <c:pt idx="41">
                  <c:v>3.8641026086314055E-2</c:v>
                </c:pt>
                <c:pt idx="42">
                  <c:v>3.8885752700500875E-2</c:v>
                </c:pt>
                <c:pt idx="43">
                  <c:v>3.9121427680598161E-2</c:v>
                </c:pt>
                <c:pt idx="44">
                  <c:v>3.9348330016771925E-2</c:v>
                </c:pt>
                <c:pt idx="45">
                  <c:v>3.956673053027486E-2</c:v>
                </c:pt>
                <c:pt idx="46">
                  <c:v>3.9776892107589917E-2</c:v>
                </c:pt>
                <c:pt idx="47">
                  <c:v>3.9979069927934985E-2</c:v>
                </c:pt>
                <c:pt idx="48">
                  <c:v>4.0173511684315294E-2</c:v>
                </c:pt>
                <c:pt idx="49">
                  <c:v>4.0360457798305757E-2</c:v>
                </c:pt>
                <c:pt idx="50">
                  <c:v>4.0540141628739819E-2</c:v>
                </c:pt>
                <c:pt idx="51">
                  <c:v>4.0712789674476536E-2</c:v>
                </c:pt>
                <c:pt idx="52">
                  <c:v>4.0878621771412937E-2</c:v>
                </c:pt>
                <c:pt idx="53">
                  <c:v>4.1037851283903949E-2</c:v>
                </c:pt>
                <c:pt idx="54">
                  <c:v>4.1190685290747438E-2</c:v>
                </c:pt>
                <c:pt idx="55">
                  <c:v>4.133732476588782E-2</c:v>
                </c:pt>
                <c:pt idx="56">
                  <c:v>4.1477964753987066E-2</c:v>
                </c:pt>
                <c:pt idx="57">
                  <c:v>4.1612794541007983E-2</c:v>
                </c:pt>
                <c:pt idx="58">
                  <c:v>4.1741997819950499E-2</c:v>
                </c:pt>
                <c:pt idx="59">
                  <c:v>4.1865752851877616E-2</c:v>
                </c:pt>
                <c:pt idx="60">
                  <c:v>4.1984232622364073E-2</c:v>
                </c:pt>
                <c:pt idx="61">
                  <c:v>4.2097604993496796E-2</c:v>
                </c:pt>
                <c:pt idx="62">
                  <c:v>4.2206032851552798E-2</c:v>
                </c:pt>
                <c:pt idx="63">
                  <c:v>4.230967425047652E-2</c:v>
                </c:pt>
                <c:pt idx="64">
                  <c:v>4.2408682551275168E-2</c:v>
                </c:pt>
                <c:pt idx="65">
                  <c:v>4.2503206557447382E-2</c:v>
                </c:pt>
                <c:pt idx="66">
                  <c:v>4.2593390646557198E-2</c:v>
                </c:pt>
                <c:pt idx="67">
                  <c:v>4.2679374898062283E-2</c:v>
                </c:pt>
                <c:pt idx="68">
                  <c:v>4.2761295217502118E-2</c:v>
                </c:pt>
                <c:pt idx="69">
                  <c:v>4.2839283457149102E-2</c:v>
                </c:pt>
                <c:pt idx="70">
                  <c:v>4.2913467533222435E-2</c:v>
                </c:pt>
                <c:pt idx="71">
                  <c:v>4.2983971539761995E-2</c:v>
                </c:pt>
                <c:pt idx="72">
                  <c:v>4.3050915859256522E-2</c:v>
                </c:pt>
                <c:pt idx="73">
                  <c:v>4.3114417270117965E-2</c:v>
                </c:pt>
                <c:pt idx="74">
                  <c:v>4.3174589051091082E-2</c:v>
                </c:pt>
                <c:pt idx="75">
                  <c:v>4.3231541082684996E-2</c:v>
                </c:pt>
                <c:pt idx="76">
                  <c:v>4.3285379945710939E-2</c:v>
                </c:pt>
                <c:pt idx="77">
                  <c:v>4.3336209017007972E-2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DE-4599-A737-E1263D71ABA3}"/>
            </c:ext>
          </c:extLst>
        </c:ser>
        <c:ser>
          <c:idx val="2"/>
          <c:order val="4"/>
          <c:tx>
            <c:strRef>
              <c:f>NSS!$EC$1</c:f>
              <c:strCache>
                <c:ptCount val="1"/>
                <c:pt idx="0">
                  <c:v>AVG yield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NSS!$A$3:$A$246</c:f>
              <c:numCache>
                <c:formatCode>0.0</c:formatCode>
                <c:ptCount val="244"/>
                <c:pt idx="0">
                  <c:v>0.5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1.5</c:v>
                </c:pt>
                <c:pt idx="6">
                  <c:v>1.5</c:v>
                </c:pt>
                <c:pt idx="7">
                  <c:v>2</c:v>
                </c:pt>
                <c:pt idx="8">
                  <c:v>2.5</c:v>
                </c:pt>
                <c:pt idx="9">
                  <c:v>3</c:v>
                </c:pt>
                <c:pt idx="10">
                  <c:v>4.5</c:v>
                </c:pt>
                <c:pt idx="11">
                  <c:v>6</c:v>
                </c:pt>
                <c:pt idx="12">
                  <c:v>10</c:v>
                </c:pt>
              </c:numCache>
            </c:numRef>
          </c:xVal>
          <c:yVal>
            <c:numRef>
              <c:f>NSS!$EC$2:$EC$245</c:f>
              <c:numCache>
                <c:formatCode>General</c:formatCode>
                <c:ptCount val="244"/>
                <c:pt idx="0">
                  <c:v>1.163E-2</c:v>
                </c:pt>
                <c:pt idx="1">
                  <c:v>1.2699999999967817E-2</c:v>
                </c:pt>
                <c:pt idx="2">
                  <c:v>1.2829999999999999E-2</c:v>
                </c:pt>
                <c:pt idx="3">
                  <c:v>1.282E-2</c:v>
                </c:pt>
                <c:pt idx="4">
                  <c:v>1.353E-2</c:v>
                </c:pt>
                <c:pt idx="5">
                  <c:v>1.4264999999999998E-2</c:v>
                </c:pt>
                <c:pt idx="6">
                  <c:v>1.4255E-2</c:v>
                </c:pt>
                <c:pt idx="7">
                  <c:v>1.4870000000000001E-2</c:v>
                </c:pt>
                <c:pt idx="8">
                  <c:v>1.5720000000000001E-2</c:v>
                </c:pt>
                <c:pt idx="9">
                  <c:v>1.6590000000000001E-2</c:v>
                </c:pt>
                <c:pt idx="10">
                  <c:v>1.9820000000000001E-2</c:v>
                </c:pt>
                <c:pt idx="11">
                  <c:v>2.155E-2</c:v>
                </c:pt>
                <c:pt idx="12">
                  <c:v>2.8389999999999999E-2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DE-4599-A737-E1263D71A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519264"/>
        <c:axId val="178521584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2"/>
                <c:tx>
                  <c:strRef>
                    <c:extLst>
                      <c:ext uri="{02D57815-91ED-43cb-92C2-25804820EDAC}">
                        <c15:formulaRef>
                          <c15:sqref>NSS!$EE$1</c15:sqref>
                        </c15:formulaRef>
                      </c:ext>
                    </c:extLst>
                    <c:strCache>
                      <c:ptCount val="1"/>
                      <c:pt idx="0">
                        <c:v>bid yield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NSS!$A$3:$A$246</c15:sqref>
                        </c15:formulaRef>
                      </c:ext>
                    </c:extLst>
                    <c:numCache>
                      <c:formatCode>0.0</c:formatCode>
                      <c:ptCount val="244"/>
                      <c:pt idx="0">
                        <c:v>0.5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1.5</c:v>
                      </c:pt>
                      <c:pt idx="6">
                        <c:v>1.5</c:v>
                      </c:pt>
                      <c:pt idx="7">
                        <c:v>2</c:v>
                      </c:pt>
                      <c:pt idx="8">
                        <c:v>2.5</c:v>
                      </c:pt>
                      <c:pt idx="9">
                        <c:v>3</c:v>
                      </c:pt>
                      <c:pt idx="10">
                        <c:v>4.5</c:v>
                      </c:pt>
                      <c:pt idx="11">
                        <c:v>6</c:v>
                      </c:pt>
                      <c:pt idx="12">
                        <c:v>10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NSS!$EE$2:$EE$245</c15:sqref>
                        </c15:formulaRef>
                      </c:ext>
                    </c:extLst>
                    <c:numCache>
                      <c:formatCode>General</c:formatCode>
                      <c:ptCount val="244"/>
                      <c:pt idx="0">
                        <c:v>1.163E-2</c:v>
                      </c:pt>
                      <c:pt idx="1">
                        <c:v>1.2809999999935633E-2</c:v>
                      </c:pt>
                      <c:pt idx="2">
                        <c:v>1.2920000000000001E-2</c:v>
                      </c:pt>
                      <c:pt idx="3">
                        <c:v>1.291E-2</c:v>
                      </c:pt>
                      <c:pt idx="4">
                        <c:v>1.3599999999999999E-2</c:v>
                      </c:pt>
                      <c:pt idx="5">
                        <c:v>1.4339999999999999E-2</c:v>
                      </c:pt>
                      <c:pt idx="6">
                        <c:v>1.4330000000000001E-2</c:v>
                      </c:pt>
                      <c:pt idx="7">
                        <c:v>1.4870000000000001E-2</c:v>
                      </c:pt>
                      <c:pt idx="8">
                        <c:v>1.5789999999999998E-2</c:v>
                      </c:pt>
                      <c:pt idx="9">
                        <c:v>1.6650000000000002E-2</c:v>
                      </c:pt>
                      <c:pt idx="10">
                        <c:v>1.9820000000000001E-2</c:v>
                      </c:pt>
                      <c:pt idx="11">
                        <c:v>2.155E-2</c:v>
                      </c:pt>
                      <c:pt idx="12">
                        <c:v>2.8389999999999999E-2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3CDE-4599-A737-E1263D71ABA3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NSS!$ED$1</c15:sqref>
                        </c15:formulaRef>
                      </c:ext>
                    </c:extLst>
                    <c:strCache>
                      <c:ptCount val="1"/>
                      <c:pt idx="0">
                        <c:v>ask yield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NSS!$A$3:$A$246</c15:sqref>
                        </c15:formulaRef>
                      </c:ext>
                    </c:extLst>
                    <c:numCache>
                      <c:formatCode>0.0</c:formatCode>
                      <c:ptCount val="244"/>
                      <c:pt idx="0">
                        <c:v>0.5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1.5</c:v>
                      </c:pt>
                      <c:pt idx="6">
                        <c:v>1.5</c:v>
                      </c:pt>
                      <c:pt idx="7">
                        <c:v>2</c:v>
                      </c:pt>
                      <c:pt idx="8">
                        <c:v>2.5</c:v>
                      </c:pt>
                      <c:pt idx="9">
                        <c:v>3</c:v>
                      </c:pt>
                      <c:pt idx="10">
                        <c:v>4.5</c:v>
                      </c:pt>
                      <c:pt idx="11">
                        <c:v>6</c:v>
                      </c:pt>
                      <c:pt idx="12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NSS!$ED$2:$ED$245</c15:sqref>
                        </c15:formulaRef>
                      </c:ext>
                    </c:extLst>
                    <c:numCache>
                      <c:formatCode>General</c:formatCode>
                      <c:ptCount val="244"/>
                      <c:pt idx="0">
                        <c:v>1.163E-2</c:v>
                      </c:pt>
                      <c:pt idx="1">
                        <c:v>1.2589999999999999E-2</c:v>
                      </c:pt>
                      <c:pt idx="2">
                        <c:v>1.274E-2</c:v>
                      </c:pt>
                      <c:pt idx="3">
                        <c:v>1.2730000000000002E-2</c:v>
                      </c:pt>
                      <c:pt idx="4">
                        <c:v>1.3460000000000001E-2</c:v>
                      </c:pt>
                      <c:pt idx="5">
                        <c:v>1.4190000000000001E-2</c:v>
                      </c:pt>
                      <c:pt idx="6">
                        <c:v>1.418E-2</c:v>
                      </c:pt>
                      <c:pt idx="7">
                        <c:v>1.4870000000000001E-2</c:v>
                      </c:pt>
                      <c:pt idx="8">
                        <c:v>1.5650000000000001E-2</c:v>
                      </c:pt>
                      <c:pt idx="9">
                        <c:v>1.653E-2</c:v>
                      </c:pt>
                      <c:pt idx="10">
                        <c:v>1.9820000000000001E-2</c:v>
                      </c:pt>
                      <c:pt idx="11">
                        <c:v>2.155E-2</c:v>
                      </c:pt>
                      <c:pt idx="12">
                        <c:v>2.8389999999999999E-2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CDE-4599-A737-E1263D71ABA3}"/>
                  </c:ext>
                </c:extLst>
              </c15:ser>
            </c15:filteredScatterSeries>
          </c:ext>
        </c:extLst>
      </c:scatterChart>
      <c:valAx>
        <c:axId val="17851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21584"/>
        <c:crosses val="autoZero"/>
        <c:crossBetween val="midCat"/>
      </c:valAx>
      <c:valAx>
        <c:axId val="17852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19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Fitted Spot and Forward yield curves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NSS!$J$251</c:f>
              <c:strCache>
                <c:ptCount val="1"/>
                <c:pt idx="0">
                  <c:v>Forward credit spread</c:v>
                </c:pt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NSS!$L$2:$CK$2</c:f>
              <c:numCache>
                <c:formatCode>General</c:formatCode>
                <c:ptCount val="78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</c:v>
                </c:pt>
                <c:pt idx="48">
                  <c:v>24.5</c:v>
                </c:pt>
                <c:pt idx="49">
                  <c:v>25</c:v>
                </c:pt>
                <c:pt idx="50">
                  <c:v>25.5</c:v>
                </c:pt>
                <c:pt idx="51">
                  <c:v>26</c:v>
                </c:pt>
                <c:pt idx="52">
                  <c:v>26.5</c:v>
                </c:pt>
                <c:pt idx="53">
                  <c:v>27</c:v>
                </c:pt>
                <c:pt idx="54">
                  <c:v>27.5</c:v>
                </c:pt>
                <c:pt idx="55">
                  <c:v>28</c:v>
                </c:pt>
                <c:pt idx="56">
                  <c:v>28.5</c:v>
                </c:pt>
                <c:pt idx="57">
                  <c:v>29</c:v>
                </c:pt>
                <c:pt idx="58">
                  <c:v>29.5</c:v>
                </c:pt>
                <c:pt idx="59">
                  <c:v>30</c:v>
                </c:pt>
                <c:pt idx="60">
                  <c:v>30.5</c:v>
                </c:pt>
                <c:pt idx="61">
                  <c:v>31</c:v>
                </c:pt>
                <c:pt idx="62">
                  <c:v>31.5</c:v>
                </c:pt>
                <c:pt idx="63">
                  <c:v>32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</c:numCache>
            </c:numRef>
          </c:xVal>
          <c:yVal>
            <c:numRef>
              <c:f>NSS!$L$251:$CK$251</c:f>
              <c:numCache>
                <c:formatCode>General</c:formatCode>
                <c:ptCount val="78"/>
                <c:pt idx="2" formatCode="0.00%">
                  <c:v>3.8507625787416178E-3</c:v>
                </c:pt>
                <c:pt idx="3" formatCode="0.00%">
                  <c:v>5.0934518589456079E-3</c:v>
                </c:pt>
                <c:pt idx="4" formatCode="0.00%">
                  <c:v>5.8554488424598095E-3</c:v>
                </c:pt>
                <c:pt idx="5" formatCode="0.00%">
                  <c:v>6.2720590476241789E-3</c:v>
                </c:pt>
                <c:pt idx="6" formatCode="0.00%">
                  <c:v>6.4152642156258821E-3</c:v>
                </c:pt>
                <c:pt idx="7" formatCode="0.00%">
                  <c:v>6.3450579214971992E-3</c:v>
                </c:pt>
                <c:pt idx="8" formatCode="0.00%">
                  <c:v>6.1112423475606636E-3</c:v>
                </c:pt>
                <c:pt idx="9" formatCode="0.00%">
                  <c:v>5.754962366810723E-3</c:v>
                </c:pt>
                <c:pt idx="10" formatCode="0.00%">
                  <c:v>5.3100180476521874E-3</c:v>
                </c:pt>
                <c:pt idx="11" formatCode="0.00%">
                  <c:v>4.8039891067399587E-3</c:v>
                </c:pt>
                <c:pt idx="12" formatCode="0.00%">
                  <c:v>4.2591989449864975E-3</c:v>
                </c:pt>
                <c:pt idx="13" formatCode="0.00%">
                  <c:v>3.6935412750209728E-3</c:v>
                </c:pt>
                <c:pt idx="14" formatCode="0.00%">
                  <c:v>3.1211886719215709E-3</c:v>
                </c:pt>
                <c:pt idx="15" formatCode="0.00%">
                  <c:v>2.5531994212770748E-3</c:v>
                </c:pt>
                <c:pt idx="16" formatCode="0.00%">
                  <c:v>1.9980366290166529E-3</c:v>
                </c:pt>
                <c:pt idx="17" formatCode="0.00%">
                  <c:v>1.4620115704622183E-3</c:v>
                </c:pt>
                <c:pt idx="18" formatCode="0.00%">
                  <c:v>9.4966159857734489E-4</c:v>
                </c:pt>
                <c:pt idx="19" formatCode="0.00%">
                  <c:v>4.6407153423277947E-4</c:v>
                </c:pt>
                <c:pt idx="20" formatCode="0.00%">
                  <c:v>7.1462729043236806E-6</c:v>
                </c:pt>
                <c:pt idx="21" formatCode="0.00%">
                  <c:v>-4.2015867650269101E-4</c:v>
                </c:pt>
                <c:pt idx="22" formatCode="0.00%">
                  <c:v>-8.1764288369390314E-4</c:v>
                </c:pt>
                <c:pt idx="23" formatCode="0.00%">
                  <c:v>-1.185697844790834E-3</c:v>
                </c:pt>
                <c:pt idx="24" formatCode="0.00%">
                  <c:v>-1.5251705735164212E-3</c:v>
                </c:pt>
                <c:pt idx="25" formatCode="0.00%">
                  <c:v>-1.8372501016157283E-3</c:v>
                </c:pt>
                <c:pt idx="26" formatCode="0.00%">
                  <c:v>-2.1233735597716574E-3</c:v>
                </c:pt>
                <c:pt idx="27" formatCode="0.00%">
                  <c:v>-2.3851489521868885E-3</c:v>
                </c:pt>
                <c:pt idx="28" formatCode="0.00%">
                  <c:v>-2.6242921247694451E-3</c:v>
                </c:pt>
                <c:pt idx="29" formatCode="0.00%">
                  <c:v>-2.8425757651204808E-3</c:v>
                </c:pt>
                <c:pt idx="30" formatCode="0.00%">
                  <c:v>-3.0417885683711177E-3</c:v>
                </c:pt>
                <c:pt idx="31" formatCode="0.00%">
                  <c:v>-3.2237029612536272E-3</c:v>
                </c:pt>
                <c:pt idx="32" formatCode="0.00%">
                  <c:v>-3.3900500020860314E-3</c:v>
                </c:pt>
                <c:pt idx="33" formatCode="0.00%">
                  <c:v>-3.5425002708999731E-3</c:v>
                </c:pt>
                <c:pt idx="34" formatCode="0.00%">
                  <c:v>-3.6826497346622578E-3</c:v>
                </c:pt>
                <c:pt idx="35" formatCode="0.00%">
                  <c:v>-3.8120097209419779E-3</c:v>
                </c:pt>
                <c:pt idx="36" formatCode="0.00%">
                  <c:v>-3.9320002620815142E-3</c:v>
                </c:pt>
                <c:pt idx="37" formatCode="0.00%">
                  <c:v>-4.0439461832522117E-3</c:v>
                </c:pt>
                <c:pt idx="38" formatCode="0.00%">
                  <c:v>-4.1490754039488209E-3</c:v>
                </c:pt>
                <c:pt idx="39" formatCode="0.00%">
                  <c:v>-4.2485190052992117E-3</c:v>
                </c:pt>
                <c:pt idx="40" formatCode="0.00%">
                  <c:v>-4.3433126871381678E-3</c:v>
                </c:pt>
                <c:pt idx="41" formatCode="0.00%">
                  <c:v>-4.4343992998259196E-3</c:v>
                </c:pt>
                <c:pt idx="42" formatCode="0.00%">
                  <c:v>-4.5226321882785303E-3</c:v>
                </c:pt>
                <c:pt idx="43" formatCode="0.00%">
                  <c:v>-4.6087791305691184E-3</c:v>
                </c:pt>
                <c:pt idx="44" formatCode="0.00%">
                  <c:v>-4.693526691772032E-3</c:v>
                </c:pt>
                <c:pt idx="45" formatCode="0.00%">
                  <c:v>-4.7774848458927988E-3</c:v>
                </c:pt>
                <c:pt idx="46" formatCode="0.00%">
                  <c:v>-4.8611917466285792E-3</c:v>
                </c:pt>
                <c:pt idx="47" formatCode="0.00%">
                  <c:v>-4.9451185508095907E-3</c:v>
                </c:pt>
                <c:pt idx="48" formatCode="0.00%">
                  <c:v>-5.0296742179287701E-3</c:v>
                </c:pt>
                <c:pt idx="49" formatCode="0.00%">
                  <c:v>-5.1152102259168775E-3</c:v>
                </c:pt>
                <c:pt idx="50" formatCode="0.00%">
                  <c:v>-5.2020251566471387E-3</c:v>
                </c:pt>
                <c:pt idx="51" formatCode="0.00%">
                  <c:v>-5.2903691166057421E-3</c:v>
                </c:pt>
                <c:pt idx="52" formatCode="0.00%">
                  <c:v>-5.3804479672798777E-3</c:v>
                </c:pt>
                <c:pt idx="53" formatCode="0.00%">
                  <c:v>-5.4724273477513297E-3</c:v>
                </c:pt>
                <c:pt idx="54" formatCode="0.00%">
                  <c:v>-5.5664364785130704E-3</c:v>
                </c:pt>
                <c:pt idx="55" formatCode="0.00%">
                  <c:v>-5.6625717404570342E-3</c:v>
                </c:pt>
                <c:pt idx="56" formatCode="0.00%">
                  <c:v>-5.7609000273932676E-3</c:v>
                </c:pt>
                <c:pt idx="57" formatCode="0.00%">
                  <c:v>-5.8614618736059221E-3</c:v>
                </c:pt>
                <c:pt idx="58" formatCode="0.00%">
                  <c:v>-5.964274360620303E-3</c:v>
                </c:pt>
                <c:pt idx="59" formatCode="0.00%">
                  <c:v>-6.0693338093653626E-3</c:v>
                </c:pt>
                <c:pt idx="60" formatCode="0.00%">
                  <c:v>-6.1766182654243718E-3</c:v>
                </c:pt>
                <c:pt idx="61" formatCode="0.00%">
                  <c:v>-6.2860897860139708E-3</c:v>
                </c:pt>
                <c:pt idx="62" formatCode="0.00%">
                  <c:v>-6.3976965382415152E-3</c:v>
                </c:pt>
                <c:pt idx="63" formatCode="0.00%">
                  <c:v>-6.5113747187171001E-3</c:v>
                </c:pt>
                <c:pt idx="64" formatCode="0.00%">
                  <c:v>-6.627050304497395E-3</c:v>
                </c:pt>
                <c:pt idx="65" formatCode="0.00%">
                  <c:v>-6.7446406457791763E-3</c:v>
                </c:pt>
                <c:pt idx="66" formatCode="0.00%">
                  <c:v>-6.8640559105892507E-3</c:v>
                </c:pt>
                <c:pt idx="67" formatCode="0.00%">
                  <c:v>-6.9852003912682648E-3</c:v>
                </c:pt>
                <c:pt idx="68" formatCode="0.00%">
                  <c:v>-7.1079736825923057E-3</c:v>
                </c:pt>
                <c:pt idx="69" formatCode="0.00%">
                  <c:v>-7.2322717409518678E-3</c:v>
                </c:pt>
                <c:pt idx="70" formatCode="0.00%">
                  <c:v>-7.3579878335017224E-3</c:v>
                </c:pt>
                <c:pt idx="71" formatCode="0.00%">
                  <c:v>-7.4850133857202739E-3</c:v>
                </c:pt>
                <c:pt idx="72" formatCode="0.00%">
                  <c:v>-7.6132387357283893E-3</c:v>
                </c:pt>
                <c:pt idx="73" formatCode="0.00%">
                  <c:v>-7.7425538029802787E-3</c:v>
                </c:pt>
                <c:pt idx="74" formatCode="0.00%">
                  <c:v>-7.872848678267097E-3</c:v>
                </c:pt>
                <c:pt idx="75" formatCode="0.00%">
                  <c:v>-8.0040141421873212E-3</c:v>
                </c:pt>
                <c:pt idx="76" formatCode="0.00%">
                  <c:v>-8.1359421181441682E-3</c:v>
                </c:pt>
                <c:pt idx="77" formatCode="0.00%">
                  <c:v>-8.2685260657184845E-3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DE-4599-A737-E1263D71A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519264"/>
        <c:axId val="178521584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1"/>
                <c:tx>
                  <c:strRef>
                    <c:extLst>
                      <c:ext uri="{02D57815-91ED-43cb-92C2-25804820EDAC}">
                        <c15:formulaRef>
                          <c15:sqref>NSS!$EE$1</c15:sqref>
                        </c15:formulaRef>
                      </c:ext>
                    </c:extLst>
                    <c:strCache>
                      <c:ptCount val="1"/>
                      <c:pt idx="0">
                        <c:v>bid yield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NSS!$A$3:$A$246</c15:sqref>
                        </c15:formulaRef>
                      </c:ext>
                    </c:extLst>
                    <c:numCache>
                      <c:formatCode>0.0</c:formatCode>
                      <c:ptCount val="244"/>
                      <c:pt idx="0">
                        <c:v>0.5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1.5</c:v>
                      </c:pt>
                      <c:pt idx="6">
                        <c:v>1.5</c:v>
                      </c:pt>
                      <c:pt idx="7">
                        <c:v>2</c:v>
                      </c:pt>
                      <c:pt idx="8">
                        <c:v>2.5</c:v>
                      </c:pt>
                      <c:pt idx="9">
                        <c:v>3</c:v>
                      </c:pt>
                      <c:pt idx="10">
                        <c:v>4.5</c:v>
                      </c:pt>
                      <c:pt idx="11">
                        <c:v>6</c:v>
                      </c:pt>
                      <c:pt idx="12">
                        <c:v>10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NSS!$EE$2:$EE$245</c15:sqref>
                        </c15:formulaRef>
                      </c:ext>
                    </c:extLst>
                    <c:numCache>
                      <c:formatCode>General</c:formatCode>
                      <c:ptCount val="244"/>
                      <c:pt idx="0">
                        <c:v>1.163E-2</c:v>
                      </c:pt>
                      <c:pt idx="1">
                        <c:v>1.2809999999935633E-2</c:v>
                      </c:pt>
                      <c:pt idx="2">
                        <c:v>1.2920000000000001E-2</c:v>
                      </c:pt>
                      <c:pt idx="3">
                        <c:v>1.291E-2</c:v>
                      </c:pt>
                      <c:pt idx="4">
                        <c:v>1.3599999999999999E-2</c:v>
                      </c:pt>
                      <c:pt idx="5">
                        <c:v>1.4339999999999999E-2</c:v>
                      </c:pt>
                      <c:pt idx="6">
                        <c:v>1.4330000000000001E-2</c:v>
                      </c:pt>
                      <c:pt idx="7">
                        <c:v>1.4870000000000001E-2</c:v>
                      </c:pt>
                      <c:pt idx="8">
                        <c:v>1.5789999999999998E-2</c:v>
                      </c:pt>
                      <c:pt idx="9">
                        <c:v>1.6650000000000002E-2</c:v>
                      </c:pt>
                      <c:pt idx="10">
                        <c:v>1.9820000000000001E-2</c:v>
                      </c:pt>
                      <c:pt idx="11">
                        <c:v>2.155E-2</c:v>
                      </c:pt>
                      <c:pt idx="12">
                        <c:v>2.8389999999999999E-2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3CDE-4599-A737-E1263D71ABA3}"/>
                  </c:ext>
                </c:extLst>
              </c15:ser>
            </c15:filteredScatterSeries>
            <c15:filteredScatter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NSS!$ED$1</c15:sqref>
                        </c15:formulaRef>
                      </c:ext>
                    </c:extLst>
                    <c:strCache>
                      <c:ptCount val="1"/>
                      <c:pt idx="0">
                        <c:v>ask yield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NSS!$A$3:$A$246</c15:sqref>
                        </c15:formulaRef>
                      </c:ext>
                    </c:extLst>
                    <c:numCache>
                      <c:formatCode>0.0</c:formatCode>
                      <c:ptCount val="244"/>
                      <c:pt idx="0">
                        <c:v>0.5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1.5</c:v>
                      </c:pt>
                      <c:pt idx="6">
                        <c:v>1.5</c:v>
                      </c:pt>
                      <c:pt idx="7">
                        <c:v>2</c:v>
                      </c:pt>
                      <c:pt idx="8">
                        <c:v>2.5</c:v>
                      </c:pt>
                      <c:pt idx="9">
                        <c:v>3</c:v>
                      </c:pt>
                      <c:pt idx="10">
                        <c:v>4.5</c:v>
                      </c:pt>
                      <c:pt idx="11">
                        <c:v>6</c:v>
                      </c:pt>
                      <c:pt idx="12">
                        <c:v>10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NSS!$ED$2:$ED$245</c15:sqref>
                        </c15:formulaRef>
                      </c:ext>
                    </c:extLst>
                    <c:numCache>
                      <c:formatCode>General</c:formatCode>
                      <c:ptCount val="244"/>
                      <c:pt idx="0">
                        <c:v>1.163E-2</c:v>
                      </c:pt>
                      <c:pt idx="1">
                        <c:v>1.2589999999999999E-2</c:v>
                      </c:pt>
                      <c:pt idx="2">
                        <c:v>1.274E-2</c:v>
                      </c:pt>
                      <c:pt idx="3">
                        <c:v>1.2730000000000002E-2</c:v>
                      </c:pt>
                      <c:pt idx="4">
                        <c:v>1.3460000000000001E-2</c:v>
                      </c:pt>
                      <c:pt idx="5">
                        <c:v>1.4190000000000001E-2</c:v>
                      </c:pt>
                      <c:pt idx="6">
                        <c:v>1.418E-2</c:v>
                      </c:pt>
                      <c:pt idx="7">
                        <c:v>1.4870000000000001E-2</c:v>
                      </c:pt>
                      <c:pt idx="8">
                        <c:v>1.5650000000000001E-2</c:v>
                      </c:pt>
                      <c:pt idx="9">
                        <c:v>1.653E-2</c:v>
                      </c:pt>
                      <c:pt idx="10">
                        <c:v>1.9820000000000001E-2</c:v>
                      </c:pt>
                      <c:pt idx="11">
                        <c:v>2.155E-2</c:v>
                      </c:pt>
                      <c:pt idx="12">
                        <c:v>2.8389999999999999E-2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CDE-4599-A737-E1263D71ABA3}"/>
                  </c:ext>
                </c:extLst>
              </c15:ser>
            </c15:filteredScatterSeries>
          </c:ext>
        </c:extLst>
      </c:scatterChart>
      <c:valAx>
        <c:axId val="17851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21584"/>
        <c:crosses val="autoZero"/>
        <c:crossBetween val="midCat"/>
      </c:valAx>
      <c:valAx>
        <c:axId val="17852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19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1039036</xdr:colOff>
      <xdr:row>256</xdr:row>
      <xdr:rowOff>0</xdr:rowOff>
    </xdr:from>
    <xdr:to>
      <xdr:col>12</xdr:col>
      <xdr:colOff>118991</xdr:colOff>
      <xdr:row>277</xdr:row>
      <xdr:rowOff>105340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AE44F2-E77E-44AA-A419-BF0A252277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51901</xdr:colOff>
      <xdr:row>256</xdr:row>
      <xdr:rowOff>0</xdr:rowOff>
    </xdr:from>
    <xdr:to>
      <xdr:col>29</xdr:col>
      <xdr:colOff>23741</xdr:colOff>
      <xdr:row>277</xdr:row>
      <xdr:rowOff>105340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9C8033-301E-4A72-ADD9-30BF6AC604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190446</xdr:colOff>
      <xdr:row>283</xdr:row>
      <xdr:rowOff>90493</xdr:rowOff>
    </xdr:from>
    <xdr:to>
      <xdr:col>29</xdr:col>
      <xdr:colOff>162286</xdr:colOff>
      <xdr:row>305</xdr:row>
      <xdr:rowOff>13993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4FAB67-BD0F-4C68-8A4E-4C1578C0F7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1013114</xdr:colOff>
      <xdr:row>283</xdr:row>
      <xdr:rowOff>90493</xdr:rowOff>
    </xdr:from>
    <xdr:to>
      <xdr:col>12</xdr:col>
      <xdr:colOff>93069</xdr:colOff>
      <xdr:row>305</xdr:row>
      <xdr:rowOff>13993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351C6EB-66C2-4A22-B081-196582C20A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99</xdr:col>
      <xdr:colOff>0</xdr:colOff>
      <xdr:row>1</xdr:row>
      <xdr:rowOff>0</xdr:rowOff>
    </xdr:from>
    <xdr:to>
      <xdr:col>128</xdr:col>
      <xdr:colOff>263867</xdr:colOff>
      <xdr:row>23</xdr:row>
      <xdr:rowOff>3253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7A95C03-AFC3-49D6-AF8D-B11B723DD0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31</xdr:col>
      <xdr:colOff>0</xdr:colOff>
      <xdr:row>256</xdr:row>
      <xdr:rowOff>0</xdr:rowOff>
    </xdr:from>
    <xdr:to>
      <xdr:col>45</xdr:col>
      <xdr:colOff>247774</xdr:colOff>
      <xdr:row>277</xdr:row>
      <xdr:rowOff>105337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959AFFE-F59F-4413-B290-BC3E9DAD08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0</xdr:colOff>
      <xdr:row>284</xdr:row>
      <xdr:rowOff>158750</xdr:rowOff>
    </xdr:from>
    <xdr:to>
      <xdr:col>45</xdr:col>
      <xdr:colOff>247774</xdr:colOff>
      <xdr:row>306</xdr:row>
      <xdr:rowOff>82659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5666918-F9BF-BCEA-7FA8-6A9680C19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hr451\AppData\Local\Microsoft\Olk\Attachments\ooa-fc4cb3bf-f628-4b9d-9f4e-98b2798b11f0\2b7e35aca9acbf900a2cefd56d07671f36df9acefd5f2fd6f1860a8f6d6c198b\FICW%20-%20Nelson%20Siegel%20Svensson%20Curves%20-%20Fitting.xlsx" TargetMode="External"/><Relationship Id="rId1" Type="http://schemas.openxmlformats.org/officeDocument/2006/relationships/externalLinkPath" Target="file:///C:\Users\adhr451\AppData\Local\Microsoft\Olk\Attachments\ooa-fc4cb3bf-f628-4b9d-9f4e-98b2798b11f0\2b7e35aca9acbf900a2cefd56d07671f36df9acefd5f2fd6f1860a8f6d6c198b\FICW%20-%20Nelson%20Siegel%20Svensson%20Curves%20-%20Fitting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tien-thanh_doan_bayes_city_ac_uk/Documents/Term%202/Fixed%20Income/Toyota%20.xlsx" TargetMode="External"/><Relationship Id="rId2" Type="http://schemas.openxmlformats.org/officeDocument/2006/relationships/externalLinkPath" Target="https://cityuni-my.sharepoint.com/personal/tien-thanh_doan_bayes_city_ac_uk/Documents/Term%202/Fixed%20Income/Toyota%20.xlsx" TargetMode="External"/><Relationship Id="rId1" Type="http://schemas.openxmlformats.org/officeDocument/2006/relationships/externalLinkPath" Target="/personal/tien-thanh_doan_bayes_city_ac_uk/Documents/Term%202/Fixed%20Income/Toyota%20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tien-thanh_doan_bayes_city_ac_uk/Documents/Term%202/Fixed%20Income/JPY%20Gov.xlsx" TargetMode="External"/><Relationship Id="rId2" Type="http://schemas.openxmlformats.org/officeDocument/2006/relationships/externalLinkPath" Target="https://cityuni-my.sharepoint.com/personal/tien-thanh_doan_bayes_city_ac_uk/Documents/Term%202/Fixed%20Income/JPY%20Gov.xlsx" TargetMode="External"/><Relationship Id="rId1" Type="http://schemas.openxmlformats.org/officeDocument/2006/relationships/externalLinkPath" Target="/personal/tien-thanh_doan_bayes_city_ac_uk/Documents/Term%202/Fixed%20Income/JPY%20Go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PY NSS"/>
      <sheetName val="BQL FIXED"/>
      <sheetName val="BQL query"/>
      <sheetName val="Nelson Siegel Model"/>
      <sheetName val="Nelson Siegel Svensson Model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ffline"/>
      <sheetName val="Book1"/>
      <sheetName val="SORT"/>
      <sheetName val="FILTER"/>
      <sheetName val="Nelson Siegel Svensson Model"/>
    </sheetNames>
    <sheetDataSet>
      <sheetData sheetId="0" refreshError="1"/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loomberg (Online)"/>
      <sheetName val="Offline"/>
      <sheetName val="SORT"/>
      <sheetName val="ID filter"/>
      <sheetName val="F date&lt;=1"/>
      <sheetName val="F coupon&lt;0.5"/>
      <sheetName val="NSS"/>
      <sheetName val="MANUAL FILTER"/>
    </sheetNames>
    <sheetDataSet>
      <sheetData sheetId="0"/>
      <sheetData sheetId="1"/>
      <sheetData sheetId="2"/>
      <sheetData sheetId="3"/>
      <sheetData sheetId="4"/>
      <sheetData sheetId="5"/>
      <sheetData sheetId="6">
        <row r="250">
          <cell r="N250">
            <v>1.4554587126496266E-2</v>
          </cell>
          <cell r="O250">
            <v>1.5616380335399027E-2</v>
          </cell>
          <cell r="P250">
            <v>1.6625259276050075E-2</v>
          </cell>
          <cell r="Q250">
            <v>1.7894185769266935E-2</v>
          </cell>
          <cell r="R250">
            <v>1.93544611524048E-2</v>
          </cell>
          <cell r="S250">
            <v>2.094926790581475E-2</v>
          </cell>
          <cell r="T250">
            <v>2.2631875442195915E-2</v>
          </cell>
          <cell r="U250">
            <v>2.4364108595605449E-2</v>
          </cell>
          <cell r="V250">
            <v>2.6115037690876752E-2</v>
          </cell>
          <cell r="W250">
            <v>2.7859856659642412E-2</v>
          </cell>
          <cell r="X250">
            <v>2.9578921561643323E-2</v>
          </cell>
          <cell r="Y250">
            <v>3.1256926497437165E-2</v>
          </cell>
          <cell r="Z250">
            <v>3.2882197575721417E-2</v>
          </cell>
          <cell r="AA250">
            <v>3.4446088556885357E-2</v>
          </cell>
          <cell r="AB250">
            <v>3.5942464204475222E-2</v>
          </cell>
          <cell r="AC250">
            <v>3.7367259363763949E-2</v>
          </cell>
          <cell r="AD250">
            <v>3.8718103444574714E-2</v>
          </cell>
          <cell r="AE250">
            <v>3.9994001383014677E-2</v>
          </cell>
          <cell r="AF250">
            <v>4.1195063345572436E-2</v>
          </cell>
          <cell r="AG250">
            <v>4.2322276458060637E-2</v>
          </cell>
          <cell r="AH250">
            <v>4.3377312720969563E-2</v>
          </cell>
          <cell r="AI250">
            <v>4.4362368034838173E-2</v>
          </cell>
          <cell r="AJ250">
            <v>4.5280027922323773E-2</v>
          </cell>
          <cell r="AK250">
            <v>4.613315611213209E-2</v>
          </cell>
          <cell r="AL250">
            <v>4.6924802655447628E-2</v>
          </cell>
          <cell r="AM250">
            <v>4.7658128687743107E-2</v>
          </cell>
          <cell r="AN250">
            <v>4.833634533571507E-2</v>
          </cell>
          <cell r="AO250">
            <v>4.89626646075072E-2</v>
          </cell>
          <cell r="AP250">
            <v>4.9540260400362524E-2</v>
          </cell>
          <cell r="AQ250">
            <v>5.0072238018292303E-2</v>
          </cell>
          <cell r="AR250">
            <v>5.0561610817809077E-2</v>
          </cell>
          <cell r="AS250">
            <v>5.1011282796324942E-2</v>
          </cell>
          <cell r="AT250">
            <v>5.1424036108679294E-2</v>
          </cell>
          <cell r="AU250">
            <v>5.1802522645722382E-2</v>
          </cell>
          <cell r="AV250">
            <v>5.2149258937655318E-2</v>
          </cell>
          <cell r="AW250">
            <v>5.2466623756195707E-2</v>
          </cell>
          <cell r="AX250">
            <v>5.2756857885791986E-2</v>
          </cell>
          <cell r="AY250">
            <v>5.3022065617155834E-2</v>
          </cell>
          <cell r="AZ250">
            <v>5.3264217587819296E-2</v>
          </cell>
          <cell r="BA250">
            <v>5.3485154655444456E-2</v>
          </cell>
          <cell r="BB250">
            <v>5.3686592542358857E-2</v>
          </cell>
          <cell r="BC250">
            <v>5.3870127034521653E-2</v>
          </cell>
          <cell r="BD250">
            <v>5.4037239556334216E-2</v>
          </cell>
          <cell r="BE250">
            <v>5.4189302975266251E-2</v>
          </cell>
          <cell r="BF250">
            <v>5.4327587517780662E-2</v>
          </cell>
          <cell r="BG250">
            <v>5.4453266701384617E-2</v>
          </cell>
          <cell r="BH250">
            <v>5.4567423207143806E-2</v>
          </cell>
          <cell r="BI250">
            <v>5.4671054633635308E-2</v>
          </cell>
          <cell r="BJ250">
            <v>5.4765079086895874E-2</v>
          </cell>
          <cell r="BK250">
            <v>5.4850340572479839E-2</v>
          </cell>
          <cell r="BL250">
            <v>5.4927614165250382E-2</v>
          </cell>
          <cell r="BM250">
            <v>5.4997610940230812E-2</v>
          </cell>
          <cell r="BN250">
            <v>5.5060982654307811E-2</v>
          </cell>
          <cell r="BO250">
            <v>5.5118326173732024E-2</v>
          </cell>
          <cell r="BP250">
            <v>5.5170187646528701E-2</v>
          </cell>
          <cell r="BQ250">
            <v>5.521706642218005E-2</v>
          </cell>
          <cell r="BR250">
            <v>5.5259418723581533E-2</v>
          </cell>
          <cell r="BS250">
            <v>5.5297661078256954E-2</v>
          </cell>
          <cell r="BT250">
            <v>5.5332173517288474E-2</v>
          </cell>
          <cell r="BU250">
            <v>5.5363302551375559E-2</v>
          </cell>
          <cell r="BV250">
            <v>5.53913639343937E-2</v>
          </cell>
          <cell r="BW250">
            <v>5.541664522513301E-2</v>
          </cell>
          <cell r="BX250">
            <v>5.5439408158028058E-2</v>
          </cell>
          <cell r="BY250">
            <v>5.5459890834001824E-2</v>
          </cell>
          <cell r="BZ250">
            <v>5.5478309742206022E-2</v>
          </cell>
          <cell r="CA250">
            <v>5.5494861623329061E-2</v>
          </cell>
          <cell r="CB250">
            <v>5.5509725184849534E-2</v>
          </cell>
          <cell r="CC250">
            <v>5.5523062678278778E-2</v>
          </cell>
          <cell r="CD250">
            <v>5.5535021347954849E-2</v>
          </cell>
          <cell r="CE250">
            <v>5.5545734760478416E-2</v>
          </cell>
          <cell r="CF250">
            <v>5.5555324023614627E-2</v>
          </cell>
          <cell r="CG250">
            <v>5.556389890290836E-2</v>
          </cell>
          <cell r="CH250">
            <v>5.5571558843558577E-2</v>
          </cell>
          <cell r="CI250">
            <v>5.5578393905055812E-2</v>
          </cell>
          <cell r="CJ250">
            <v>5.5584485615431278E-2</v>
          </cell>
          <cell r="CK250">
            <v>5.5589907751221412E-2</v>
          </cell>
        </row>
      </sheetData>
      <sheetData sheetId="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24940-C64D-4D55-88D0-DDAC7D924DF8}">
  <dimension ref="A1:T39"/>
  <sheetViews>
    <sheetView topLeftCell="H20" zoomScale="130" zoomScaleNormal="130" workbookViewId="0">
      <selection activeCell="H38" sqref="H38"/>
    </sheetView>
  </sheetViews>
  <sheetFormatPr defaultRowHeight="12.75" x14ac:dyDescent="0.35"/>
  <cols>
    <col min="1" max="1" width="14.73046875" bestFit="1" customWidth="1"/>
    <col min="2" max="2" width="18.3984375" bestFit="1" customWidth="1"/>
    <col min="3" max="3" width="8.3984375" bestFit="1" customWidth="1"/>
    <col min="4" max="4" width="13.86328125" bestFit="1" customWidth="1"/>
    <col min="5" max="5" width="8.3984375" bestFit="1" customWidth="1"/>
    <col min="6" max="6" width="10.1328125" customWidth="1"/>
    <col min="7" max="7" width="11.86328125" bestFit="1" customWidth="1"/>
    <col min="8" max="8" width="16.73046875" bestFit="1" customWidth="1"/>
    <col min="9" max="9" width="7.265625" bestFit="1" customWidth="1"/>
    <col min="10" max="10" width="18.73046875" bestFit="1" customWidth="1"/>
    <col min="11" max="11" width="18.1328125" bestFit="1" customWidth="1"/>
    <col min="12" max="12" width="9.1328125" bestFit="1" customWidth="1"/>
    <col min="13" max="13" width="8.59765625" bestFit="1" customWidth="1"/>
    <col min="14" max="14" width="11.1328125" bestFit="1" customWidth="1"/>
    <col min="15" max="15" width="14.3984375" bestFit="1" customWidth="1"/>
    <col min="16" max="16" width="25.73046875" bestFit="1" customWidth="1"/>
    <col min="17" max="17" width="10.1328125" bestFit="1" customWidth="1"/>
    <col min="18" max="18" width="22" bestFit="1" customWidth="1"/>
    <col min="19" max="19" width="9" bestFit="1" customWidth="1"/>
    <col min="21" max="16371" width="9" bestFit="1" customWidth="1"/>
    <col min="16372" max="16384" width="9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20" x14ac:dyDescent="0.35">
      <c r="A2" s="5" t="s">
        <v>19</v>
      </c>
      <c r="B2" s="1" t="e" cm="1">
        <f t="array" aca="1" ref="B2" ca="1">_xll.BDP("YL396238 Corp","DS520")</f>
        <v>#NAME?</v>
      </c>
      <c r="C2" s="1" t="e" cm="1">
        <f t="array" aca="1" ref="C2" ca="1">_xll.BDP("YL396238 Corp","DS001")</f>
        <v>#NAME?</v>
      </c>
      <c r="D2" s="1" t="e" cm="1">
        <f t="array" aca="1" ref="D2" ca="1">_xll.BDP("YL396238 Corp","DS458")</f>
        <v>#NAME?</v>
      </c>
      <c r="E2" s="1" t="e" cm="1">
        <f t="array" aca="1" ref="E2" ca="1">_xll.BDP("YL396238 Corp","DS004")</f>
        <v>#NAME?</v>
      </c>
      <c r="F2" s="1" t="e" cm="1">
        <f t="array" aca="1" ref="F2" ca="1">_xll.BDP("YL396238 Corp","DS035")</f>
        <v>#NAME?</v>
      </c>
      <c r="G2" t="e" cm="1">
        <f t="array" aca="1" ref="G2" ca="1">_xll.BDP(A2,"DS086")</f>
        <v>#NAME?</v>
      </c>
      <c r="H2" t="e" cm="1">
        <f t="array" aca="1" ref="H2" ca="1">_xll.BDP(A2,"DS034")</f>
        <v>#NAME?</v>
      </c>
      <c r="I2" s="1" t="e" cm="1">
        <f t="array" aca="1" ref="I2" ca="1">_xll.BDP("YL396238 Corp","DS033")</f>
        <v>#NAME?</v>
      </c>
      <c r="J2" s="1" t="e" cm="1">
        <f t="array" aca="1" ref="J2" ca="1">_xll.BDP(A2,"YL018")</f>
        <v>#NAME?</v>
      </c>
      <c r="K2" s="1" t="e" cm="1">
        <f t="array" aca="1" ref="K2" ca="1">_xll.BDP("YL396238 Corp","YL016")</f>
        <v>#NAME?</v>
      </c>
      <c r="L2" s="1" t="e" cm="1">
        <f t="array" aca="1" ref="L2" ca="1">_xll.BDP("YL396238 Corp","PR004")</f>
        <v>#NAME?</v>
      </c>
      <c r="M2" s="1" t="e" cm="1">
        <f t="array" aca="1" ref="M2" ca="1">_xll.BDP(A2,"PR002")</f>
        <v>#NAME?</v>
      </c>
      <c r="N2" s="1" t="e" cm="1">
        <f t="array" aca="1" ref="N2" ca="1">_xll.BDP(A2,"ID028")</f>
        <v>#NAME?</v>
      </c>
      <c r="O2" s="1" t="e" cm="1">
        <f t="array" aca="1" ref="O2" ca="1">_xll.BDP("YL396238 Corp","ID005")</f>
        <v>#NAME?</v>
      </c>
      <c r="P2" s="1" t="e" cm="1">
        <f t="array" aca="1" ref="P2" ca="1">_xll.BDP("YL396238 Corp","RA007")</f>
        <v>#NAME?</v>
      </c>
      <c r="Q2" s="1" t="e" cm="1">
        <f t="array" aca="1" ref="Q2" ca="1">_xll.BDP("YL396238 Corp","DS219")</f>
        <v>#NAME?</v>
      </c>
      <c r="R2" s="1" t="e" cm="1">
        <f t="array" aca="1" ref="R2" ca="1">_xll.BDP(A2,"DS040")</f>
        <v>#NAME?</v>
      </c>
      <c r="S2" s="4" t="e">
        <f ca="1">(F2-TODAY())/365.25</f>
        <v>#NAME?</v>
      </c>
      <c r="T2" s="1" t="e" cm="1">
        <f t="array" aca="1" ref="T2" ca="1">_xll.BDP(C2,"HS022")</f>
        <v>#NAME?</v>
      </c>
    </row>
    <row r="3" spans="1:20" x14ac:dyDescent="0.35">
      <c r="A3" s="5" t="s">
        <v>20</v>
      </c>
      <c r="B3" s="1" t="e" cm="1">
        <f t="array" aca="1" ref="B3" ca="1">_xll.BDP("ZI885852 Corp","DS520")</f>
        <v>#NAME?</v>
      </c>
      <c r="C3" s="1" t="e" cm="1">
        <f t="array" aca="1" ref="C3" ca="1">_xll.BDP("ZI885852 Corp","DS001")</f>
        <v>#NAME?</v>
      </c>
      <c r="D3" s="1" t="e" cm="1">
        <f t="array" aca="1" ref="D3" ca="1">_xll.BDP("ZI885852 Corp","DS458")</f>
        <v>#NAME?</v>
      </c>
      <c r="E3" s="1" t="e" cm="1">
        <f t="array" aca="1" ref="E3" ca="1">_xll.BDP("ZI885852 Corp","DS004")</f>
        <v>#NAME?</v>
      </c>
      <c r="F3" s="1" t="e" cm="1">
        <f t="array" aca="1" ref="F3" ca="1">_xll.BDP("ZI885852 Corp","DS035")</f>
        <v>#NAME?</v>
      </c>
      <c r="G3" t="e" cm="1">
        <f t="array" aca="1" ref="G3" ca="1">_xll.BDP(A3,"DS086")</f>
        <v>#NAME?</v>
      </c>
      <c r="H3" t="e" cm="1">
        <f t="array" aca="1" ref="H3" ca="1">_xll.BDP(A3,"DS034")</f>
        <v>#NAME?</v>
      </c>
      <c r="I3" s="1" t="e" cm="1">
        <f t="array" aca="1" ref="I3" ca="1">_xll.BDP("ZI885852 Corp","DS033")</f>
        <v>#NAME?</v>
      </c>
      <c r="J3" s="1" t="e" cm="1">
        <f t="array" aca="1" ref="J3" ca="1">_xll.BDP(A3,"YL018")</f>
        <v>#NAME?</v>
      </c>
      <c r="K3" s="1" t="e" cm="1">
        <f t="array" aca="1" ref="K3" ca="1">_xll.BDP("ZI885852 Corp","YL016")</f>
        <v>#NAME?</v>
      </c>
      <c r="L3" s="1" t="e" cm="1">
        <f t="array" aca="1" ref="L3" ca="1">_xll.BDP("ZI885852 Corp","PR004")</f>
        <v>#NAME?</v>
      </c>
      <c r="M3" s="1" t="e" cm="1">
        <f t="array" aca="1" ref="M3" ca="1">_xll.BDP(A3,"PR002")</f>
        <v>#NAME?</v>
      </c>
      <c r="N3" s="1" t="e" cm="1">
        <f t="array" aca="1" ref="N3" ca="1">_xll.BDP(A3,"ID028")</f>
        <v>#NAME?</v>
      </c>
      <c r="O3" s="1" t="e" cm="1">
        <f t="array" aca="1" ref="O3" ca="1">_xll.BDP("ZI885852 Corp","ID005")</f>
        <v>#NAME?</v>
      </c>
      <c r="P3" s="1" t="e" cm="1">
        <f t="array" aca="1" ref="P3" ca="1">_xll.BDP("ZI885852 Corp","RA007")</f>
        <v>#NAME?</v>
      </c>
      <c r="Q3" s="1" t="e" cm="1">
        <f t="array" aca="1" ref="Q3" ca="1">_xll.BDP("ZI885852 Corp","DS219")</f>
        <v>#NAME?</v>
      </c>
      <c r="R3" s="1" t="e" cm="1">
        <f t="array" aca="1" ref="R3" ca="1">_xll.BDP(A3,"DS040")</f>
        <v>#NAME?</v>
      </c>
      <c r="S3" s="4" t="e">
        <f t="shared" ref="S3:S38" ca="1" si="0">(F3-TODAY())/365.25</f>
        <v>#NAME?</v>
      </c>
    </row>
    <row r="4" spans="1:20" x14ac:dyDescent="0.35">
      <c r="A4" s="5" t="s">
        <v>21</v>
      </c>
      <c r="B4" s="1" t="e" cm="1">
        <f t="array" aca="1" ref="B4" ca="1">_xll.BDP("LW169500 Corp","DS520")</f>
        <v>#NAME?</v>
      </c>
      <c r="C4" s="1" t="e" cm="1">
        <f t="array" aca="1" ref="C4" ca="1">_xll.BDP("LW169500 Corp","DS001")</f>
        <v>#NAME?</v>
      </c>
      <c r="D4" s="1" t="e" cm="1">
        <f t="array" aca="1" ref="D4" ca="1">_xll.BDP("LW169500 Corp","DS458")</f>
        <v>#NAME?</v>
      </c>
      <c r="E4" s="1" t="e" cm="1">
        <f t="array" aca="1" ref="E4" ca="1">_xll.BDP("LW169500 Corp","DS004")</f>
        <v>#NAME?</v>
      </c>
      <c r="F4" s="1" t="e" cm="1">
        <f t="array" aca="1" ref="F4" ca="1">_xll.BDP("LW169500 Corp","DS035")</f>
        <v>#NAME?</v>
      </c>
      <c r="G4" t="e" cm="1">
        <f t="array" aca="1" ref="G4" ca="1">_xll.BDP(A4,"DS086")</f>
        <v>#NAME?</v>
      </c>
      <c r="H4" t="e" cm="1">
        <f t="array" aca="1" ref="H4" ca="1">_xll.BDP(A4,"DS034")</f>
        <v>#NAME?</v>
      </c>
      <c r="I4" s="1" t="e" cm="1">
        <f t="array" aca="1" ref="I4" ca="1">_xll.BDP("LW169500 Corp","DS033")</f>
        <v>#NAME?</v>
      </c>
      <c r="J4" s="1" t="e" cm="1">
        <f t="array" aca="1" ref="J4" ca="1">_xll.BDP(A4,"YL018")</f>
        <v>#NAME?</v>
      </c>
      <c r="K4" s="1" t="e" cm="1">
        <f t="array" aca="1" ref="K4" ca="1">_xll.BDP("LW169500 Corp","YL016")</f>
        <v>#NAME?</v>
      </c>
      <c r="L4" s="1" t="e" cm="1">
        <f t="array" aca="1" ref="L4" ca="1">_xll.BDP("LW169500 Corp","PR004")</f>
        <v>#NAME?</v>
      </c>
      <c r="M4" s="1" t="e" cm="1">
        <f t="array" aca="1" ref="M4" ca="1">_xll.BDP(A4,"PR002")</f>
        <v>#NAME?</v>
      </c>
      <c r="N4" s="1" t="e" cm="1">
        <f t="array" aca="1" ref="N4" ca="1">_xll.BDP(A4,"ID028")</f>
        <v>#NAME?</v>
      </c>
      <c r="O4" s="1" t="e" cm="1">
        <f t="array" aca="1" ref="O4" ca="1">_xll.BDP("LW169500 Corp","ID005")</f>
        <v>#NAME?</v>
      </c>
      <c r="P4" s="1" t="e" cm="1">
        <f t="array" aca="1" ref="P4" ca="1">_xll.BDP("LW169500 Corp","RA007")</f>
        <v>#NAME?</v>
      </c>
      <c r="Q4" s="1" t="e" cm="1">
        <f t="array" aca="1" ref="Q4" ca="1">_xll.BDP("LW169500 Corp","DS219")</f>
        <v>#NAME?</v>
      </c>
      <c r="R4" s="1" t="e" cm="1">
        <f t="array" aca="1" ref="R4" ca="1">_xll.BDP(A4,"DS040")</f>
        <v>#NAME?</v>
      </c>
      <c r="S4" s="4" t="e">
        <f t="shared" ca="1" si="0"/>
        <v>#NAME?</v>
      </c>
    </row>
    <row r="5" spans="1:20" x14ac:dyDescent="0.35">
      <c r="A5" s="5" t="s">
        <v>22</v>
      </c>
      <c r="B5" s="1" t="e" cm="1">
        <f t="array" aca="1" ref="B5" ca="1">_xll.BDP("AN666227 Corp","DS520")</f>
        <v>#NAME?</v>
      </c>
      <c r="C5" s="1" t="e" cm="1">
        <f t="array" aca="1" ref="C5" ca="1">_xll.BDP("AN666227 Corp","DS001")</f>
        <v>#NAME?</v>
      </c>
      <c r="D5" s="1" t="e" cm="1">
        <f t="array" aca="1" ref="D5" ca="1">_xll.BDP("AN666227 Corp","DS458")</f>
        <v>#NAME?</v>
      </c>
      <c r="E5" s="1" t="e" cm="1">
        <f t="array" aca="1" ref="E5" ca="1">_xll.BDP("AN666227 Corp","DS004")</f>
        <v>#NAME?</v>
      </c>
      <c r="F5" s="1" t="e" cm="1">
        <f t="array" aca="1" ref="F5" ca="1">_xll.BDP("AN666227 Corp","DS035")</f>
        <v>#NAME?</v>
      </c>
      <c r="G5" t="e" cm="1">
        <f t="array" aca="1" ref="G5" ca="1">_xll.BDP(A5,"DS086")</f>
        <v>#NAME?</v>
      </c>
      <c r="H5" t="e" cm="1">
        <f t="array" aca="1" ref="H5" ca="1">_xll.BDP(A5,"DS034")</f>
        <v>#NAME?</v>
      </c>
      <c r="I5" s="1" t="e" cm="1">
        <f t="array" aca="1" ref="I5" ca="1">_xll.BDP("AN666227 Corp","DS033")</f>
        <v>#NAME?</v>
      </c>
      <c r="J5" s="1" t="e" cm="1">
        <f t="array" aca="1" ref="J5" ca="1">_xll.BDP(A5,"YL018")</f>
        <v>#NAME?</v>
      </c>
      <c r="K5" s="1" t="e" cm="1">
        <f t="array" aca="1" ref="K5" ca="1">_xll.BDP("AN666227 Corp","YL016")</f>
        <v>#NAME?</v>
      </c>
      <c r="L5" s="1" t="e" cm="1">
        <f t="array" aca="1" ref="L5" ca="1">_xll.BDP("AN666227 Corp","PR004")</f>
        <v>#NAME?</v>
      </c>
      <c r="M5" s="1" t="e" cm="1">
        <f t="array" aca="1" ref="M5" ca="1">_xll.BDP(A5,"PR002")</f>
        <v>#NAME?</v>
      </c>
      <c r="N5" s="1" t="e" cm="1">
        <f t="array" aca="1" ref="N5" ca="1">_xll.BDP(A5,"ID028")</f>
        <v>#NAME?</v>
      </c>
      <c r="O5" s="1" t="e" cm="1">
        <f t="array" aca="1" ref="O5" ca="1">_xll.BDP("AN666227 Corp","ID005")</f>
        <v>#NAME?</v>
      </c>
      <c r="P5" s="1" t="e" cm="1">
        <f t="array" aca="1" ref="P5" ca="1">_xll.BDP("AN666227 Corp","RA007")</f>
        <v>#NAME?</v>
      </c>
      <c r="Q5" s="1" t="e" cm="1">
        <f t="array" aca="1" ref="Q5" ca="1">_xll.BDP("AN666227 Corp","DS219")</f>
        <v>#NAME?</v>
      </c>
      <c r="R5" s="1" t="e" cm="1">
        <f t="array" aca="1" ref="R5" ca="1">_xll.BDP(A5,"DS040")</f>
        <v>#NAME?</v>
      </c>
      <c r="S5" s="4" t="e">
        <f t="shared" ca="1" si="0"/>
        <v>#NAME?</v>
      </c>
    </row>
    <row r="6" spans="1:20" x14ac:dyDescent="0.35">
      <c r="A6" s="5" t="s">
        <v>23</v>
      </c>
      <c r="B6" s="1" t="e" cm="1">
        <f t="array" aca="1" ref="B6" ca="1">_xll.BDP("BO356983 Corp","DS520")</f>
        <v>#NAME?</v>
      </c>
      <c r="C6" s="1" t="e" cm="1">
        <f t="array" aca="1" ref="C6" ca="1">_xll.BDP("BO356983 Corp","DS001")</f>
        <v>#NAME?</v>
      </c>
      <c r="D6" s="1" t="e" cm="1">
        <f t="array" aca="1" ref="D6" ca="1">_xll.BDP("BO356983 Corp","DS458")</f>
        <v>#NAME?</v>
      </c>
      <c r="E6" s="1" t="e" cm="1">
        <f t="array" aca="1" ref="E6" ca="1">_xll.BDP("BO356983 Corp","DS004")</f>
        <v>#NAME?</v>
      </c>
      <c r="F6" s="1" t="e" cm="1">
        <f t="array" aca="1" ref="F6" ca="1">_xll.BDP("BO356983 Corp","DS035")</f>
        <v>#NAME?</v>
      </c>
      <c r="G6" t="e" cm="1">
        <f t="array" aca="1" ref="G6" ca="1">_xll.BDP(A6,"DS086")</f>
        <v>#NAME?</v>
      </c>
      <c r="H6" t="e" cm="1">
        <f t="array" aca="1" ref="H6" ca="1">_xll.BDP(A6,"DS034")</f>
        <v>#NAME?</v>
      </c>
      <c r="I6" s="1" t="e" cm="1">
        <f t="array" aca="1" ref="I6" ca="1">_xll.BDP("BO356983 Corp","DS033")</f>
        <v>#NAME?</v>
      </c>
      <c r="J6" s="1" t="e" cm="1">
        <f t="array" aca="1" ref="J6" ca="1">_xll.BDP(A6,"YL018")</f>
        <v>#NAME?</v>
      </c>
      <c r="K6" s="1" t="e" cm="1">
        <f t="array" aca="1" ref="K6" ca="1">_xll.BDP("BO356983 Corp","YL016")</f>
        <v>#NAME?</v>
      </c>
      <c r="L6" s="1" t="e" cm="1">
        <f t="array" aca="1" ref="L6" ca="1">_xll.BDP("BO356983 Corp","PR004")</f>
        <v>#NAME?</v>
      </c>
      <c r="M6" s="1" t="e" cm="1">
        <f t="array" aca="1" ref="M6" ca="1">_xll.BDP(A6,"PR002")</f>
        <v>#NAME?</v>
      </c>
      <c r="N6" s="1" t="e" cm="1">
        <f t="array" aca="1" ref="N6" ca="1">_xll.BDP(A6,"ID028")</f>
        <v>#NAME?</v>
      </c>
      <c r="O6" s="1" t="e" cm="1">
        <f t="array" aca="1" ref="O6" ca="1">_xll.BDP("BO356983 Corp","ID005")</f>
        <v>#NAME?</v>
      </c>
      <c r="P6" s="1" t="e" cm="1">
        <f t="array" aca="1" ref="P6" ca="1">_xll.BDP("BO356983 Corp","RA007")</f>
        <v>#NAME?</v>
      </c>
      <c r="Q6" s="1" t="e" cm="1">
        <f t="array" aca="1" ref="Q6" ca="1">_xll.BDP("BO356983 Corp","DS219")</f>
        <v>#NAME?</v>
      </c>
      <c r="R6" s="1" t="e" cm="1">
        <f t="array" aca="1" ref="R6" ca="1">_xll.BDP(A6,"DS040")</f>
        <v>#NAME?</v>
      </c>
      <c r="S6" s="4" t="e">
        <f t="shared" ca="1" si="0"/>
        <v>#NAME?</v>
      </c>
    </row>
    <row r="7" spans="1:20" x14ac:dyDescent="0.35">
      <c r="A7" s="5" t="s">
        <v>24</v>
      </c>
      <c r="B7" s="1" t="e" cm="1">
        <f t="array" aca="1" ref="B7" ca="1">_xll.BDP("BO356985 Corp","DS520")</f>
        <v>#NAME?</v>
      </c>
      <c r="C7" s="1" t="e" cm="1">
        <f t="array" aca="1" ref="C7" ca="1">_xll.BDP("BO356985 Corp","DS001")</f>
        <v>#NAME?</v>
      </c>
      <c r="D7" s="1" t="e" cm="1">
        <f t="array" aca="1" ref="D7" ca="1">_xll.BDP("BO356985 Corp","DS458")</f>
        <v>#NAME?</v>
      </c>
      <c r="E7" s="1" t="e" cm="1">
        <f t="array" aca="1" ref="E7" ca="1">_xll.BDP("BO356985 Corp","DS004")</f>
        <v>#NAME?</v>
      </c>
      <c r="F7" s="1" t="e" cm="1">
        <f t="array" aca="1" ref="F7" ca="1">_xll.BDP("BO356985 Corp","DS035")</f>
        <v>#NAME?</v>
      </c>
      <c r="G7" t="e" cm="1">
        <f t="array" aca="1" ref="G7" ca="1">_xll.BDP(A7,"DS086")</f>
        <v>#NAME?</v>
      </c>
      <c r="H7" t="e" cm="1">
        <f t="array" aca="1" ref="H7" ca="1">_xll.BDP(A7,"DS034")</f>
        <v>#NAME?</v>
      </c>
      <c r="I7" s="1" t="e" cm="1">
        <f t="array" aca="1" ref="I7" ca="1">_xll.BDP("BO356985 Corp","DS033")</f>
        <v>#NAME?</v>
      </c>
      <c r="J7" s="1" t="e" cm="1">
        <f t="array" aca="1" ref="J7" ca="1">_xll.BDP(A7,"YL018")</f>
        <v>#NAME?</v>
      </c>
      <c r="K7" s="1" t="e" cm="1">
        <f t="array" aca="1" ref="K7" ca="1">_xll.BDP("BO356985 Corp","YL016")</f>
        <v>#NAME?</v>
      </c>
      <c r="L7" s="1" t="e" cm="1">
        <f t="array" aca="1" ref="L7" ca="1">_xll.BDP("BO356985 Corp","PR004")</f>
        <v>#NAME?</v>
      </c>
      <c r="M7" s="1" t="e" cm="1">
        <f t="array" aca="1" ref="M7" ca="1">_xll.BDP(A7,"PR002")</f>
        <v>#NAME?</v>
      </c>
      <c r="N7" s="1" t="e" cm="1">
        <f t="array" aca="1" ref="N7" ca="1">_xll.BDP(A7,"ID028")</f>
        <v>#NAME?</v>
      </c>
      <c r="O7" s="1" t="e" cm="1">
        <f t="array" aca="1" ref="O7" ca="1">_xll.BDP("BO356985 Corp","ID005")</f>
        <v>#NAME?</v>
      </c>
      <c r="P7" s="1" t="e" cm="1">
        <f t="array" aca="1" ref="P7" ca="1">_xll.BDP("BO356985 Corp","RA007")</f>
        <v>#NAME?</v>
      </c>
      <c r="Q7" s="1" t="e" cm="1">
        <f t="array" aca="1" ref="Q7" ca="1">_xll.BDP("BO356985 Corp","DS219")</f>
        <v>#NAME?</v>
      </c>
      <c r="R7" s="1" t="e" cm="1">
        <f t="array" aca="1" ref="R7" ca="1">_xll.BDP(A7,"DS040")</f>
        <v>#NAME?</v>
      </c>
      <c r="S7" s="4" t="e">
        <f t="shared" ca="1" si="0"/>
        <v>#NAME?</v>
      </c>
    </row>
    <row r="8" spans="1:20" x14ac:dyDescent="0.35">
      <c r="A8" s="5" t="s">
        <v>25</v>
      </c>
      <c r="B8" s="1" t="e" cm="1">
        <f t="array" aca="1" ref="B8" ca="1">_xll.BDP("BO356982 Corp","DS520")</f>
        <v>#NAME?</v>
      </c>
      <c r="C8" s="1" t="e" cm="1">
        <f t="array" aca="1" ref="C8" ca="1">_xll.BDP("BO356982 Corp","DS001")</f>
        <v>#NAME?</v>
      </c>
      <c r="D8" s="1" t="e" cm="1">
        <f t="array" aca="1" ref="D8" ca="1">_xll.BDP("BO356982 Corp","DS458")</f>
        <v>#NAME?</v>
      </c>
      <c r="E8" s="1" t="e" cm="1">
        <f t="array" aca="1" ref="E8" ca="1">_xll.BDP("BO356982 Corp","DS004")</f>
        <v>#NAME?</v>
      </c>
      <c r="F8" s="1" t="e" cm="1">
        <f t="array" aca="1" ref="F8" ca="1">_xll.BDP("BO356982 Corp","DS035")</f>
        <v>#NAME?</v>
      </c>
      <c r="G8" t="e" cm="1">
        <f t="array" aca="1" ref="G8" ca="1">_xll.BDP(A8,"DS086")</f>
        <v>#NAME?</v>
      </c>
      <c r="H8" t="e" cm="1">
        <f t="array" aca="1" ref="H8" ca="1">_xll.BDP(A8,"DS034")</f>
        <v>#NAME?</v>
      </c>
      <c r="I8" s="1" t="e" cm="1">
        <f t="array" aca="1" ref="I8" ca="1">_xll.BDP("BO356982 Corp","DS033")</f>
        <v>#NAME?</v>
      </c>
      <c r="J8" s="1" t="e" cm="1">
        <f t="array" aca="1" ref="J8" ca="1">_xll.BDP(A8,"YL018")</f>
        <v>#NAME?</v>
      </c>
      <c r="K8" s="1" t="e" cm="1">
        <f t="array" aca="1" ref="K8" ca="1">_xll.BDP("BO356982 Corp","YL016")</f>
        <v>#NAME?</v>
      </c>
      <c r="L8" s="1" t="e" cm="1">
        <f t="array" aca="1" ref="L8" ca="1">_xll.BDP("BO356982 Corp","PR004")</f>
        <v>#NAME?</v>
      </c>
      <c r="M8" s="1" t="e" cm="1">
        <f t="array" aca="1" ref="M8" ca="1">_xll.BDP(A8,"PR002")</f>
        <v>#NAME?</v>
      </c>
      <c r="N8" s="1" t="e" cm="1">
        <f t="array" aca="1" ref="N8" ca="1">_xll.BDP(A8,"ID028")</f>
        <v>#NAME?</v>
      </c>
      <c r="O8" s="1" t="e" cm="1">
        <f t="array" aca="1" ref="O8" ca="1">_xll.BDP("BO356982 Corp","ID005")</f>
        <v>#NAME?</v>
      </c>
      <c r="P8" s="1" t="e" cm="1">
        <f t="array" aca="1" ref="P8" ca="1">_xll.BDP("BO356982 Corp","RA007")</f>
        <v>#NAME?</v>
      </c>
      <c r="Q8" s="1" t="e" cm="1">
        <f t="array" aca="1" ref="Q8" ca="1">_xll.BDP("BO356982 Corp","DS219")</f>
        <v>#NAME?</v>
      </c>
      <c r="R8" s="1" t="e" cm="1">
        <f t="array" aca="1" ref="R8" ca="1">_xll.BDP(A8,"DS040")</f>
        <v>#NAME?</v>
      </c>
      <c r="S8" s="4" t="e">
        <f t="shared" ca="1" si="0"/>
        <v>#NAME?</v>
      </c>
    </row>
    <row r="9" spans="1:20" x14ac:dyDescent="0.35">
      <c r="A9" s="5" t="s">
        <v>26</v>
      </c>
      <c r="B9" s="1" t="e" cm="1">
        <f t="array" aca="1" ref="B9" ca="1">_xll.BDP("DA928584 Corp","DS520")</f>
        <v>#NAME?</v>
      </c>
      <c r="C9" s="1" t="e" cm="1">
        <f t="array" aca="1" ref="C9" ca="1">_xll.BDP("DA928584 Corp","DS001")</f>
        <v>#NAME?</v>
      </c>
      <c r="D9" s="1" t="e" cm="1">
        <f t="array" aca="1" ref="D9" ca="1">_xll.BDP("DA928584 Corp","DS458")</f>
        <v>#NAME?</v>
      </c>
      <c r="E9" s="1" t="e" cm="1">
        <f t="array" aca="1" ref="E9" ca="1">_xll.BDP("DA928584 Corp","DS004")</f>
        <v>#NAME?</v>
      </c>
      <c r="F9" s="1" t="e" cm="1">
        <f t="array" aca="1" ref="F9" ca="1">_xll.BDP("DA928584 Corp","DS035")</f>
        <v>#NAME?</v>
      </c>
      <c r="G9" t="e" cm="1">
        <f t="array" aca="1" ref="G9" ca="1">_xll.BDP(A9,"DS086")</f>
        <v>#NAME?</v>
      </c>
      <c r="H9" t="e" cm="1">
        <f t="array" aca="1" ref="H9" ca="1">_xll.BDP(A9,"DS034")</f>
        <v>#NAME?</v>
      </c>
      <c r="I9" s="1" t="e" cm="1">
        <f t="array" aca="1" ref="I9" ca="1">_xll.BDP("DA928584 Corp","DS033")</f>
        <v>#NAME?</v>
      </c>
      <c r="J9" s="1" t="e" cm="1">
        <f t="array" aca="1" ref="J9" ca="1">_xll.BDP(A9,"YL018")</f>
        <v>#NAME?</v>
      </c>
      <c r="K9" s="1" t="e" cm="1">
        <f t="array" aca="1" ref="K9" ca="1">_xll.BDP("DA928584 Corp","YL016")</f>
        <v>#NAME?</v>
      </c>
      <c r="L9" s="1" t="e" cm="1">
        <f t="array" aca="1" ref="L9" ca="1">_xll.BDP("DA928584 Corp","PR004")</f>
        <v>#NAME?</v>
      </c>
      <c r="M9" s="1" t="e" cm="1">
        <f t="array" aca="1" ref="M9" ca="1">_xll.BDP(A9,"PR002")</f>
        <v>#NAME?</v>
      </c>
      <c r="N9" s="1" t="e" cm="1">
        <f t="array" aca="1" ref="N9" ca="1">_xll.BDP(A9,"ID028")</f>
        <v>#NAME?</v>
      </c>
      <c r="O9" s="1" t="e" cm="1">
        <f t="array" aca="1" ref="O9" ca="1">_xll.BDP("DA928584 Corp","ID005")</f>
        <v>#NAME?</v>
      </c>
      <c r="P9" s="1" t="e" cm="1">
        <f t="array" aca="1" ref="P9" ca="1">_xll.BDP("DA928584 Corp","RA007")</f>
        <v>#NAME?</v>
      </c>
      <c r="Q9" s="1" t="e" cm="1">
        <f t="array" aca="1" ref="Q9" ca="1">_xll.BDP("DA928584 Corp","DS219")</f>
        <v>#NAME?</v>
      </c>
      <c r="R9" s="1" t="e" cm="1">
        <f t="array" aca="1" ref="R9" ca="1">_xll.BDP(A9,"DS040")</f>
        <v>#NAME?</v>
      </c>
      <c r="S9" s="4" t="e">
        <f t="shared" ca="1" si="0"/>
        <v>#NAME?</v>
      </c>
    </row>
    <row r="10" spans="1:20" x14ac:dyDescent="0.35">
      <c r="A10" s="5" t="s">
        <v>27</v>
      </c>
      <c r="B10" s="1" t="e" cm="1">
        <f t="array" aca="1" ref="B10" ca="1">_xll.BDP("YL396232 Corp","DS520")</f>
        <v>#NAME?</v>
      </c>
      <c r="C10" s="1" t="e" cm="1">
        <f t="array" aca="1" ref="C10" ca="1">_xll.BDP("YL396232 Corp","DS001")</f>
        <v>#NAME?</v>
      </c>
      <c r="D10" s="1" t="e" cm="1">
        <f t="array" aca="1" ref="D10" ca="1">_xll.BDP("YL396232 Corp","DS458")</f>
        <v>#NAME?</v>
      </c>
      <c r="E10" s="1" t="e" cm="1">
        <f t="array" aca="1" ref="E10" ca="1">_xll.BDP("YL396232 Corp","DS004")</f>
        <v>#NAME?</v>
      </c>
      <c r="F10" s="1" t="e" cm="1">
        <f t="array" aca="1" ref="F10" ca="1">_xll.BDP("YL396232 Corp","DS035")</f>
        <v>#NAME?</v>
      </c>
      <c r="G10" t="e" cm="1">
        <f t="array" aca="1" ref="G10" ca="1">_xll.BDP(A10,"DS086")</f>
        <v>#NAME?</v>
      </c>
      <c r="H10" t="e" cm="1">
        <f t="array" aca="1" ref="H10" ca="1">_xll.BDP(A10,"DS034")</f>
        <v>#NAME?</v>
      </c>
      <c r="I10" s="1" t="e" cm="1">
        <f t="array" aca="1" ref="I10" ca="1">_xll.BDP("YL396232 Corp","DS033")</f>
        <v>#NAME?</v>
      </c>
      <c r="J10" s="1" t="e" cm="1">
        <f t="array" aca="1" ref="J10" ca="1">_xll.BDP(A10,"YL018")</f>
        <v>#NAME?</v>
      </c>
      <c r="K10" s="1" t="e" cm="1">
        <f t="array" aca="1" ref="K10" ca="1">_xll.BDP("YL396232 Corp","YL016")</f>
        <v>#NAME?</v>
      </c>
      <c r="L10" s="1" t="e" cm="1">
        <f t="array" aca="1" ref="L10" ca="1">_xll.BDP("YL396232 Corp","PR004")</f>
        <v>#NAME?</v>
      </c>
      <c r="M10" s="1" t="e" cm="1">
        <f t="array" aca="1" ref="M10" ca="1">_xll.BDP(A10,"PR002")</f>
        <v>#NAME?</v>
      </c>
      <c r="N10" s="1" t="e" cm="1">
        <f t="array" aca="1" ref="N10" ca="1">_xll.BDP(A10,"ID028")</f>
        <v>#NAME?</v>
      </c>
      <c r="O10" s="1" t="e" cm="1">
        <f t="array" aca="1" ref="O10" ca="1">_xll.BDP("YL396232 Corp","ID005")</f>
        <v>#NAME?</v>
      </c>
      <c r="P10" s="1" t="e" cm="1">
        <f t="array" aca="1" ref="P10" ca="1">_xll.BDP("YL396232 Corp","RA007")</f>
        <v>#NAME?</v>
      </c>
      <c r="Q10" s="1" t="e" cm="1">
        <f t="array" aca="1" ref="Q10" ca="1">_xll.BDP("YL396232 Corp","DS219")</f>
        <v>#NAME?</v>
      </c>
      <c r="R10" s="1" t="e" cm="1">
        <f t="array" aca="1" ref="R10" ca="1">_xll.BDP(A10,"DS040")</f>
        <v>#NAME?</v>
      </c>
      <c r="S10" s="4" t="e">
        <f t="shared" ca="1" si="0"/>
        <v>#NAME?</v>
      </c>
    </row>
    <row r="11" spans="1:20" x14ac:dyDescent="0.35">
      <c r="A11" s="5" t="s">
        <v>28</v>
      </c>
      <c r="B11" s="1" t="e" cm="1">
        <f t="array" aca="1" ref="B11" ca="1">_xll.BDP("YK173563 Corp","DS520")</f>
        <v>#NAME?</v>
      </c>
      <c r="C11" s="1" t="e" cm="1">
        <f t="array" aca="1" ref="C11" ca="1">_xll.BDP("YK173563 Corp","DS001")</f>
        <v>#NAME?</v>
      </c>
      <c r="D11" s="1" t="e" cm="1">
        <f t="array" aca="1" ref="D11" ca="1">_xll.BDP("YK173563 Corp","DS458")</f>
        <v>#NAME?</v>
      </c>
      <c r="E11" s="1" t="e" cm="1">
        <f t="array" aca="1" ref="E11" ca="1">_xll.BDP("YK173563 Corp","DS004")</f>
        <v>#NAME?</v>
      </c>
      <c r="F11" s="1" t="e" cm="1">
        <f t="array" aca="1" ref="F11" ca="1">_xll.BDP("YK173563 Corp","DS035")</f>
        <v>#NAME?</v>
      </c>
      <c r="G11" t="e" cm="1">
        <f t="array" aca="1" ref="G11" ca="1">_xll.BDP(A11,"DS086")</f>
        <v>#NAME?</v>
      </c>
      <c r="H11" t="e" cm="1">
        <f t="array" aca="1" ref="H11" ca="1">_xll.BDP(A11,"DS034")</f>
        <v>#NAME?</v>
      </c>
      <c r="I11" s="1" t="e" cm="1">
        <f t="array" aca="1" ref="I11" ca="1">_xll.BDP("YK173563 Corp","DS033")</f>
        <v>#NAME?</v>
      </c>
      <c r="J11" s="1" t="e" cm="1">
        <f t="array" aca="1" ref="J11" ca="1">_xll.BDP(A11,"YL018")</f>
        <v>#NAME?</v>
      </c>
      <c r="K11" s="1" t="e" cm="1">
        <f t="array" aca="1" ref="K11" ca="1">_xll.BDP("YK173563 Corp","YL016")</f>
        <v>#NAME?</v>
      </c>
      <c r="L11" s="1" t="e" cm="1">
        <f t="array" aca="1" ref="L11" ca="1">_xll.BDP("YK173563 Corp","PR004")</f>
        <v>#NAME?</v>
      </c>
      <c r="M11" s="1" t="e" cm="1">
        <f t="array" aca="1" ref="M11" ca="1">_xll.BDP(A11,"PR002")</f>
        <v>#NAME?</v>
      </c>
      <c r="N11" s="1" t="e" cm="1">
        <f t="array" aca="1" ref="N11" ca="1">_xll.BDP(A11,"ID028")</f>
        <v>#NAME?</v>
      </c>
      <c r="O11" s="1" t="e" cm="1">
        <f t="array" aca="1" ref="O11" ca="1">_xll.BDP("YK173563 Corp","ID005")</f>
        <v>#NAME?</v>
      </c>
      <c r="P11" s="1" t="e" cm="1">
        <f t="array" aca="1" ref="P11" ca="1">_xll.BDP("YK173563 Corp","RA007")</f>
        <v>#NAME?</v>
      </c>
      <c r="Q11" s="1" t="e" cm="1">
        <f t="array" aca="1" ref="Q11" ca="1">_xll.BDP("YK173563 Corp","DS219")</f>
        <v>#NAME?</v>
      </c>
      <c r="R11" s="1" t="e" cm="1">
        <f t="array" aca="1" ref="R11" ca="1">_xll.BDP(A11,"DS040")</f>
        <v>#NAME?</v>
      </c>
      <c r="S11" s="4" t="e">
        <f t="shared" ca="1" si="0"/>
        <v>#NAME?</v>
      </c>
    </row>
    <row r="12" spans="1:20" x14ac:dyDescent="0.35">
      <c r="A12" s="5" t="s">
        <v>29</v>
      </c>
      <c r="B12" s="1" t="e" cm="1">
        <f t="array" aca="1" ref="B12" ca="1">_xll.BDP("YN599739 Corp","DS520")</f>
        <v>#NAME?</v>
      </c>
      <c r="C12" s="1" t="e" cm="1">
        <f t="array" aca="1" ref="C12" ca="1">_xll.BDP("YN599739 Corp","DS001")</f>
        <v>#NAME?</v>
      </c>
      <c r="D12" s="1" t="e" cm="1">
        <f t="array" aca="1" ref="D12" ca="1">_xll.BDP("YN599739 Corp","DS458")</f>
        <v>#NAME?</v>
      </c>
      <c r="E12" s="1" t="e" cm="1">
        <f t="array" aca="1" ref="E12" ca="1">_xll.BDP("YN599739 Corp","DS004")</f>
        <v>#NAME?</v>
      </c>
      <c r="F12" s="1" t="e" cm="1">
        <f t="array" aca="1" ref="F12" ca="1">_xll.BDP("YN599739 Corp","DS035")</f>
        <v>#NAME?</v>
      </c>
      <c r="G12" t="e" cm="1">
        <f t="array" aca="1" ref="G12" ca="1">_xll.BDP(A12,"DS086")</f>
        <v>#NAME?</v>
      </c>
      <c r="H12" t="e" cm="1">
        <f t="array" aca="1" ref="H12" ca="1">_xll.BDP(A12,"DS034")</f>
        <v>#NAME?</v>
      </c>
      <c r="I12" s="1" t="e" cm="1">
        <f t="array" aca="1" ref="I12" ca="1">_xll.BDP("YN599739 Corp","DS033")</f>
        <v>#NAME?</v>
      </c>
      <c r="J12" s="1" t="e" cm="1">
        <f t="array" aca="1" ref="J12" ca="1">_xll.BDP(A12,"YL018")</f>
        <v>#NAME?</v>
      </c>
      <c r="K12" s="1" t="e" cm="1">
        <f t="array" aca="1" ref="K12" ca="1">_xll.BDP("YN599739 Corp","YL016")</f>
        <v>#NAME?</v>
      </c>
      <c r="L12" s="1" t="e" cm="1">
        <f t="array" aca="1" ref="L12" ca="1">_xll.BDP("YN599739 Corp","PR004")</f>
        <v>#NAME?</v>
      </c>
      <c r="M12" s="1" t="e" cm="1">
        <f t="array" aca="1" ref="M12" ca="1">_xll.BDP(A12,"PR002")</f>
        <v>#NAME?</v>
      </c>
      <c r="N12" s="1" t="e" cm="1">
        <f t="array" aca="1" ref="N12" ca="1">_xll.BDP(A12,"ID028")</f>
        <v>#NAME?</v>
      </c>
      <c r="O12" s="1" t="e" cm="1">
        <f t="array" aca="1" ref="O12" ca="1">_xll.BDP("YN599739 Corp","ID005")</f>
        <v>#NAME?</v>
      </c>
      <c r="P12" s="1" t="e" cm="1">
        <f t="array" aca="1" ref="P12" ca="1">_xll.BDP("YN599739 Corp","RA007")</f>
        <v>#NAME?</v>
      </c>
      <c r="Q12" s="1" t="e" cm="1">
        <f t="array" aca="1" ref="Q12" ca="1">_xll.BDP("YN599739 Corp","DS219")</f>
        <v>#NAME?</v>
      </c>
      <c r="R12" s="1" t="e" cm="1">
        <f t="array" aca="1" ref="R12" ca="1">_xll.BDP(A12,"DS040")</f>
        <v>#NAME?</v>
      </c>
      <c r="S12" s="4" t="e">
        <f t="shared" ca="1" si="0"/>
        <v>#NAME?</v>
      </c>
    </row>
    <row r="13" spans="1:20" x14ac:dyDescent="0.35">
      <c r="A13" s="5" t="s">
        <v>30</v>
      </c>
      <c r="B13" s="1" t="e" cm="1">
        <f t="array" aca="1" ref="B13" ca="1">_xll.BDP("YN599935 Corp","DS520")</f>
        <v>#NAME?</v>
      </c>
      <c r="C13" s="1" t="e" cm="1">
        <f t="array" aca="1" ref="C13" ca="1">_xll.BDP("YN599935 Corp","DS001")</f>
        <v>#NAME?</v>
      </c>
      <c r="D13" s="1" t="e" cm="1">
        <f t="array" aca="1" ref="D13" ca="1">_xll.BDP("YN599935 Corp","DS458")</f>
        <v>#NAME?</v>
      </c>
      <c r="E13" s="1" t="e" cm="1">
        <f t="array" aca="1" ref="E13" ca="1">_xll.BDP("YN599935 Corp","DS004")</f>
        <v>#NAME?</v>
      </c>
      <c r="F13" s="1" t="e" cm="1">
        <f t="array" aca="1" ref="F13" ca="1">_xll.BDP("YN599935 Corp","DS035")</f>
        <v>#NAME?</v>
      </c>
      <c r="G13" t="e" cm="1">
        <f t="array" aca="1" ref="G13" ca="1">_xll.BDP(A13,"DS086")</f>
        <v>#NAME?</v>
      </c>
      <c r="H13" t="e" cm="1">
        <f t="array" aca="1" ref="H13" ca="1">_xll.BDP(A13,"DS034")</f>
        <v>#NAME?</v>
      </c>
      <c r="I13" s="1" t="e" cm="1">
        <f t="array" aca="1" ref="I13" ca="1">_xll.BDP("YN599935 Corp","DS033")</f>
        <v>#NAME?</v>
      </c>
      <c r="J13" s="1" t="e" cm="1">
        <f t="array" aca="1" ref="J13" ca="1">_xll.BDP(A13,"YL018")</f>
        <v>#NAME?</v>
      </c>
      <c r="K13" s="1" t="e" cm="1">
        <f t="array" aca="1" ref="K13" ca="1">_xll.BDP("YN599935 Corp","YL016")</f>
        <v>#NAME?</v>
      </c>
      <c r="L13" s="1" t="e" cm="1">
        <f t="array" aca="1" ref="L13" ca="1">_xll.BDP("YN599935 Corp","PR004")</f>
        <v>#NAME?</v>
      </c>
      <c r="M13" s="1" t="e" cm="1">
        <f t="array" aca="1" ref="M13" ca="1">_xll.BDP(A13,"PR002")</f>
        <v>#NAME?</v>
      </c>
      <c r="N13" s="1" t="e" cm="1">
        <f t="array" aca="1" ref="N13" ca="1">_xll.BDP(A13,"ID028")</f>
        <v>#NAME?</v>
      </c>
      <c r="O13" s="1" t="e" cm="1">
        <f t="array" aca="1" ref="O13" ca="1">_xll.BDP("YN599935 Corp","ID005")</f>
        <v>#NAME?</v>
      </c>
      <c r="P13" s="1" t="e" cm="1">
        <f t="array" aca="1" ref="P13" ca="1">_xll.BDP("YN599935 Corp","RA007")</f>
        <v>#NAME?</v>
      </c>
      <c r="Q13" s="1" t="e" cm="1">
        <f t="array" aca="1" ref="Q13" ca="1">_xll.BDP("YN599935 Corp","DS219")</f>
        <v>#NAME?</v>
      </c>
      <c r="R13" s="1" t="e" cm="1">
        <f t="array" aca="1" ref="R13" ca="1">_xll.BDP(A13,"DS040")</f>
        <v>#NAME?</v>
      </c>
      <c r="S13" s="4" t="e">
        <f t="shared" ca="1" si="0"/>
        <v>#NAME?</v>
      </c>
    </row>
    <row r="14" spans="1:20" x14ac:dyDescent="0.35">
      <c r="A14" s="5" t="s">
        <v>31</v>
      </c>
      <c r="B14" s="1" t="e" cm="1">
        <f t="array" aca="1" ref="B14" ca="1">_xll.BDP("YN600126 Corp","DS520")</f>
        <v>#NAME?</v>
      </c>
      <c r="C14" s="1" t="e" cm="1">
        <f t="array" aca="1" ref="C14" ca="1">_xll.BDP("YN600126 Corp","DS001")</f>
        <v>#NAME?</v>
      </c>
      <c r="D14" s="1" t="e" cm="1">
        <f t="array" aca="1" ref="D14" ca="1">_xll.BDP("YN600126 Corp","DS458")</f>
        <v>#NAME?</v>
      </c>
      <c r="E14" s="1" t="e" cm="1">
        <f t="array" aca="1" ref="E14" ca="1">_xll.BDP("YN600126 Corp","DS004")</f>
        <v>#NAME?</v>
      </c>
      <c r="F14" s="1" t="e" cm="1">
        <f t="array" aca="1" ref="F14" ca="1">_xll.BDP("YN600126 Corp","DS035")</f>
        <v>#NAME?</v>
      </c>
      <c r="G14" t="e" cm="1">
        <f t="array" aca="1" ref="G14" ca="1">_xll.BDP(A14,"DS086")</f>
        <v>#NAME?</v>
      </c>
      <c r="H14" t="e" cm="1">
        <f t="array" aca="1" ref="H14" ca="1">_xll.BDP(A14,"DS034")</f>
        <v>#NAME?</v>
      </c>
      <c r="I14" s="1" t="e" cm="1">
        <f t="array" aca="1" ref="I14" ca="1">_xll.BDP("YN600126 Corp","DS033")</f>
        <v>#NAME?</v>
      </c>
      <c r="J14" s="1" t="e" cm="1">
        <f t="array" aca="1" ref="J14" ca="1">_xll.BDP(A14,"YL018")</f>
        <v>#NAME?</v>
      </c>
      <c r="K14" s="1" t="e" cm="1">
        <f t="array" aca="1" ref="K14" ca="1">_xll.BDP("YN600126 Corp","YL016")</f>
        <v>#NAME?</v>
      </c>
      <c r="L14" s="1" t="e" cm="1">
        <f t="array" aca="1" ref="L14" ca="1">_xll.BDP("YN600126 Corp","PR004")</f>
        <v>#NAME?</v>
      </c>
      <c r="M14" s="1" t="e" cm="1">
        <f t="array" aca="1" ref="M14" ca="1">_xll.BDP(A14,"PR002")</f>
        <v>#NAME?</v>
      </c>
      <c r="N14" s="1" t="e" cm="1">
        <f t="array" aca="1" ref="N14" ca="1">_xll.BDP(A14,"ID028")</f>
        <v>#NAME?</v>
      </c>
      <c r="O14" s="1" t="e" cm="1">
        <f t="array" aca="1" ref="O14" ca="1">_xll.BDP("YN600126 Corp","ID005")</f>
        <v>#NAME?</v>
      </c>
      <c r="P14" s="1" t="e" cm="1">
        <f t="array" aca="1" ref="P14" ca="1">_xll.BDP("YN600126 Corp","RA007")</f>
        <v>#NAME?</v>
      </c>
      <c r="Q14" s="1" t="e" cm="1">
        <f t="array" aca="1" ref="Q14" ca="1">_xll.BDP("YN600126 Corp","DS219")</f>
        <v>#NAME?</v>
      </c>
      <c r="R14" s="1" t="e" cm="1">
        <f t="array" aca="1" ref="R14" ca="1">_xll.BDP(A14,"DS040")</f>
        <v>#NAME?</v>
      </c>
      <c r="S14" s="4" t="e">
        <f t="shared" ca="1" si="0"/>
        <v>#NAME?</v>
      </c>
    </row>
    <row r="15" spans="1:20" x14ac:dyDescent="0.35">
      <c r="A15" s="5" t="s">
        <v>32</v>
      </c>
      <c r="B15" s="1" t="e" cm="1">
        <f t="array" aca="1" ref="B15" ca="1">_xll.BDP("ZD637375 Corp","DS520")</f>
        <v>#NAME?</v>
      </c>
      <c r="C15" s="1" t="e" cm="1">
        <f t="array" aca="1" ref="C15" ca="1">_xll.BDP("ZD637375 Corp","DS001")</f>
        <v>#NAME?</v>
      </c>
      <c r="D15" s="1" t="e" cm="1">
        <f t="array" aca="1" ref="D15" ca="1">_xll.BDP("ZD637375 Corp","DS458")</f>
        <v>#NAME?</v>
      </c>
      <c r="E15" s="1" t="e" cm="1">
        <f t="array" aca="1" ref="E15" ca="1">_xll.BDP("ZD637375 Corp","DS004")</f>
        <v>#NAME?</v>
      </c>
      <c r="F15" s="1" t="e" cm="1">
        <f t="array" aca="1" ref="F15" ca="1">_xll.BDP("ZD637375 Corp","DS035")</f>
        <v>#NAME?</v>
      </c>
      <c r="G15" t="e" cm="1">
        <f t="array" aca="1" ref="G15" ca="1">_xll.BDP(A15,"DS086")</f>
        <v>#NAME?</v>
      </c>
      <c r="H15" t="e" cm="1">
        <f t="array" aca="1" ref="H15" ca="1">_xll.BDP(A15,"DS034")</f>
        <v>#NAME?</v>
      </c>
      <c r="I15" s="1" t="e" cm="1">
        <f t="array" aca="1" ref="I15" ca="1">_xll.BDP("ZD637375 Corp","DS033")</f>
        <v>#NAME?</v>
      </c>
      <c r="J15" s="1" t="e" cm="1">
        <f t="array" aca="1" ref="J15" ca="1">_xll.BDP(A15,"YL018")</f>
        <v>#NAME?</v>
      </c>
      <c r="K15" s="1" t="e" cm="1">
        <f t="array" aca="1" ref="K15" ca="1">_xll.BDP("ZD637375 Corp","YL016")</f>
        <v>#NAME?</v>
      </c>
      <c r="L15" s="1" t="e" cm="1">
        <f t="array" aca="1" ref="L15" ca="1">_xll.BDP("ZD637375 Corp","PR004")</f>
        <v>#NAME?</v>
      </c>
      <c r="M15" s="1" t="e" cm="1">
        <f t="array" aca="1" ref="M15" ca="1">_xll.BDP(A15,"PR002")</f>
        <v>#NAME?</v>
      </c>
      <c r="N15" s="1" t="e" cm="1">
        <f t="array" aca="1" ref="N15" ca="1">_xll.BDP(A15,"ID028")</f>
        <v>#NAME?</v>
      </c>
      <c r="O15" s="1" t="e" cm="1">
        <f t="array" aca="1" ref="O15" ca="1">_xll.BDP("ZD637375 Corp","ID005")</f>
        <v>#NAME?</v>
      </c>
      <c r="P15" s="1" t="e" cm="1">
        <f t="array" aca="1" ref="P15" ca="1">_xll.BDP("ZD637375 Corp","RA007")</f>
        <v>#NAME?</v>
      </c>
      <c r="Q15" s="1" t="e" cm="1">
        <f t="array" aca="1" ref="Q15" ca="1">_xll.BDP("ZD637375 Corp","DS219")</f>
        <v>#NAME?</v>
      </c>
      <c r="R15" s="1" t="e" cm="1">
        <f t="array" aca="1" ref="R15" ca="1">_xll.BDP(A15,"DS040")</f>
        <v>#NAME?</v>
      </c>
      <c r="S15" s="4" t="e">
        <f t="shared" ca="1" si="0"/>
        <v>#NAME?</v>
      </c>
    </row>
    <row r="16" spans="1:20" x14ac:dyDescent="0.35">
      <c r="A16" s="5" t="s">
        <v>33</v>
      </c>
      <c r="B16" s="1" t="e" cm="1">
        <f t="array" aca="1" ref="B16" ca="1">_xll.BDP("AN666209 Corp","DS520")</f>
        <v>#NAME?</v>
      </c>
      <c r="C16" s="1" t="e" cm="1">
        <f t="array" aca="1" ref="C16" ca="1">_xll.BDP("AN666209 Corp","DS001")</f>
        <v>#NAME?</v>
      </c>
      <c r="D16" s="1" t="e" cm="1">
        <f t="array" aca="1" ref="D16" ca="1">_xll.BDP("AN666209 Corp","DS458")</f>
        <v>#NAME?</v>
      </c>
      <c r="E16" s="1" t="e" cm="1">
        <f t="array" aca="1" ref="E16" ca="1">_xll.BDP("AN666209 Corp","DS004")</f>
        <v>#NAME?</v>
      </c>
      <c r="F16" s="1" t="e" cm="1">
        <f t="array" aca="1" ref="F16" ca="1">_xll.BDP("AN666209 Corp","DS035")</f>
        <v>#NAME?</v>
      </c>
      <c r="G16" t="e" cm="1">
        <f t="array" aca="1" ref="G16" ca="1">_xll.BDP(A16,"DS086")</f>
        <v>#NAME?</v>
      </c>
      <c r="H16" t="e" cm="1">
        <f t="array" aca="1" ref="H16" ca="1">_xll.BDP(A16,"DS034")</f>
        <v>#NAME?</v>
      </c>
      <c r="I16" s="1" t="e" cm="1">
        <f t="array" aca="1" ref="I16" ca="1">_xll.BDP("AN666209 Corp","DS033")</f>
        <v>#NAME?</v>
      </c>
      <c r="J16" s="1" t="e" cm="1">
        <f t="array" aca="1" ref="J16" ca="1">_xll.BDP(A16,"YL018")</f>
        <v>#NAME?</v>
      </c>
      <c r="K16" s="1" t="e" cm="1">
        <f t="array" aca="1" ref="K16" ca="1">_xll.BDP("AN666209 Corp","YL016")</f>
        <v>#NAME?</v>
      </c>
      <c r="L16" s="1" t="e" cm="1">
        <f t="array" aca="1" ref="L16" ca="1">_xll.BDP("AN666209 Corp","PR004")</f>
        <v>#NAME?</v>
      </c>
      <c r="M16" s="1" t="e" cm="1">
        <f t="array" aca="1" ref="M16" ca="1">_xll.BDP(A16,"PR002")</f>
        <v>#NAME?</v>
      </c>
      <c r="N16" s="1" t="e" cm="1">
        <f t="array" aca="1" ref="N16" ca="1">_xll.BDP(A16,"ID028")</f>
        <v>#NAME?</v>
      </c>
      <c r="O16" s="1" t="e" cm="1">
        <f t="array" aca="1" ref="O16" ca="1">_xll.BDP("AN666209 Corp","ID005")</f>
        <v>#NAME?</v>
      </c>
      <c r="P16" s="1" t="e" cm="1">
        <f t="array" aca="1" ref="P16" ca="1">_xll.BDP("AN666209 Corp","RA007")</f>
        <v>#NAME?</v>
      </c>
      <c r="Q16" s="1" t="e" cm="1">
        <f t="array" aca="1" ref="Q16" ca="1">_xll.BDP("AN666209 Corp","DS219")</f>
        <v>#NAME?</v>
      </c>
      <c r="R16" s="1" t="e" cm="1">
        <f t="array" aca="1" ref="R16" ca="1">_xll.BDP(A16,"DS040")</f>
        <v>#NAME?</v>
      </c>
      <c r="S16" s="4" t="e">
        <f t="shared" ca="1" si="0"/>
        <v>#NAME?</v>
      </c>
    </row>
    <row r="17" spans="1:19" x14ac:dyDescent="0.35">
      <c r="A17" s="5" t="s">
        <v>34</v>
      </c>
      <c r="B17" s="1" t="e" cm="1">
        <f t="array" aca="1" ref="B17" ca="1">_xll.BDP("YS631917 Corp","DS520")</f>
        <v>#NAME?</v>
      </c>
      <c r="C17" s="1" t="e" cm="1">
        <f t="array" aca="1" ref="C17" ca="1">_xll.BDP("YS631917 Corp","DS001")</f>
        <v>#NAME?</v>
      </c>
      <c r="D17" s="1" t="e" cm="1">
        <f t="array" aca="1" ref="D17" ca="1">_xll.BDP("YS631917 Corp","DS458")</f>
        <v>#NAME?</v>
      </c>
      <c r="E17" s="1" t="e" cm="1">
        <f t="array" aca="1" ref="E17" ca="1">_xll.BDP("YS631917 Corp","DS004")</f>
        <v>#NAME?</v>
      </c>
      <c r="F17" s="1" t="e" cm="1">
        <f t="array" aca="1" ref="F17" ca="1">_xll.BDP("YS631917 Corp","DS035")</f>
        <v>#NAME?</v>
      </c>
      <c r="G17" t="e" cm="1">
        <f t="array" aca="1" ref="G17" ca="1">_xll.BDP(A17,"DS086")</f>
        <v>#NAME?</v>
      </c>
      <c r="H17" t="e" cm="1">
        <f t="array" aca="1" ref="H17" ca="1">_xll.BDP(A17,"DS034")</f>
        <v>#NAME?</v>
      </c>
      <c r="I17" s="1" t="e" cm="1">
        <f t="array" aca="1" ref="I17" ca="1">_xll.BDP("YS631917 Corp","DS033")</f>
        <v>#NAME?</v>
      </c>
      <c r="J17" s="1" t="e" cm="1">
        <f t="array" aca="1" ref="J17" ca="1">_xll.BDP(A17,"YL018")</f>
        <v>#NAME?</v>
      </c>
      <c r="K17" s="1" t="e" cm="1">
        <f t="array" aca="1" ref="K17" ca="1">_xll.BDP("YS631917 Corp","YL016")</f>
        <v>#NAME?</v>
      </c>
      <c r="L17" s="1" t="e" cm="1">
        <f t="array" aca="1" ref="L17" ca="1">_xll.BDP("YS631917 Corp","PR004")</f>
        <v>#NAME?</v>
      </c>
      <c r="M17" s="1" t="e" cm="1">
        <f t="array" aca="1" ref="M17" ca="1">_xll.BDP(A17,"PR002")</f>
        <v>#NAME?</v>
      </c>
      <c r="N17" s="1" t="e" cm="1">
        <f t="array" aca="1" ref="N17" ca="1">_xll.BDP(A17,"ID028")</f>
        <v>#NAME?</v>
      </c>
      <c r="O17" s="1" t="e" cm="1">
        <f t="array" aca="1" ref="O17" ca="1">_xll.BDP("YS631917 Corp","ID005")</f>
        <v>#NAME?</v>
      </c>
      <c r="P17" s="1" t="e" cm="1">
        <f t="array" aca="1" ref="P17" ca="1">_xll.BDP("YS631917 Corp","RA007")</f>
        <v>#NAME?</v>
      </c>
      <c r="Q17" s="1" t="e" cm="1">
        <f t="array" aca="1" ref="Q17" ca="1">_xll.BDP("YS631917 Corp","DS219")</f>
        <v>#NAME?</v>
      </c>
      <c r="R17" s="1" t="e" cm="1">
        <f t="array" aca="1" ref="R17" ca="1">_xll.BDP(A17,"DS040")</f>
        <v>#NAME?</v>
      </c>
      <c r="S17" s="4" t="e">
        <f t="shared" ca="1" si="0"/>
        <v>#NAME?</v>
      </c>
    </row>
    <row r="18" spans="1:19" x14ac:dyDescent="0.35">
      <c r="A18" s="5" t="s">
        <v>35</v>
      </c>
      <c r="B18" s="1" t="e" cm="1">
        <f t="array" aca="1" ref="B18" ca="1">_xll.BDP("BW601183 Corp","DS520")</f>
        <v>#NAME?</v>
      </c>
      <c r="C18" s="1" t="e" cm="1">
        <f t="array" aca="1" ref="C18" ca="1">_xll.BDP("BW601183 Corp","DS001")</f>
        <v>#NAME?</v>
      </c>
      <c r="D18" s="1" t="e" cm="1">
        <f t="array" aca="1" ref="D18" ca="1">_xll.BDP("BW601183 Corp","DS458")</f>
        <v>#NAME?</v>
      </c>
      <c r="E18" s="1" t="e" cm="1">
        <f t="array" aca="1" ref="E18" ca="1">_xll.BDP("BW601183 Corp","DS004")</f>
        <v>#NAME?</v>
      </c>
      <c r="F18" s="1" t="e" cm="1">
        <f t="array" aca="1" ref="F18" ca="1">_xll.BDP("BW601183 Corp","DS035")</f>
        <v>#NAME?</v>
      </c>
      <c r="G18" t="e" cm="1">
        <f t="array" aca="1" ref="G18" ca="1">_xll.BDP(A18,"DS086")</f>
        <v>#NAME?</v>
      </c>
      <c r="H18" t="e" cm="1">
        <f t="array" aca="1" ref="H18" ca="1">_xll.BDP(A18,"DS034")</f>
        <v>#NAME?</v>
      </c>
      <c r="I18" s="1" t="e" cm="1">
        <f t="array" aca="1" ref="I18" ca="1">_xll.BDP("BW601183 Corp","DS033")</f>
        <v>#NAME?</v>
      </c>
      <c r="J18" s="1" t="e" cm="1">
        <f t="array" aca="1" ref="J18" ca="1">_xll.BDP(A18,"YL018")</f>
        <v>#NAME?</v>
      </c>
      <c r="K18" s="1" t="e" cm="1">
        <f t="array" aca="1" ref="K18" ca="1">_xll.BDP("BW601183 Corp","YL016")</f>
        <v>#NAME?</v>
      </c>
      <c r="L18" s="1" t="e" cm="1">
        <f t="array" aca="1" ref="L18" ca="1">_xll.BDP("BW601183 Corp","PR004")</f>
        <v>#NAME?</v>
      </c>
      <c r="M18" s="1" t="e" cm="1">
        <f t="array" aca="1" ref="M18" ca="1">_xll.BDP(A18,"PR002")</f>
        <v>#NAME?</v>
      </c>
      <c r="N18" s="1" t="e" cm="1">
        <f t="array" aca="1" ref="N18" ca="1">_xll.BDP(A18,"ID028")</f>
        <v>#NAME?</v>
      </c>
      <c r="O18" s="1" t="e" cm="1">
        <f t="array" aca="1" ref="O18" ca="1">_xll.BDP("BW601183 Corp","ID005")</f>
        <v>#NAME?</v>
      </c>
      <c r="P18" s="1" t="e" cm="1">
        <f t="array" aca="1" ref="P18" ca="1">_xll.BDP("BW601183 Corp","RA007")</f>
        <v>#NAME?</v>
      </c>
      <c r="Q18" s="1" t="e" cm="1">
        <f t="array" aca="1" ref="Q18" ca="1">_xll.BDP("BW601183 Corp","DS219")</f>
        <v>#NAME?</v>
      </c>
      <c r="R18" s="1" t="e" cm="1">
        <f t="array" aca="1" ref="R18" ca="1">_xll.BDP(A18,"DS040")</f>
        <v>#NAME?</v>
      </c>
      <c r="S18" s="4" t="e">
        <f t="shared" ca="1" si="0"/>
        <v>#NAME?</v>
      </c>
    </row>
    <row r="19" spans="1:19" x14ac:dyDescent="0.35">
      <c r="A19" s="5" t="s">
        <v>36</v>
      </c>
      <c r="B19" s="1" t="e" cm="1">
        <f t="array" aca="1" ref="B19" ca="1">_xll.BDP("YT821868 Corp","DS520")</f>
        <v>#NAME?</v>
      </c>
      <c r="C19" s="1" t="e" cm="1">
        <f t="array" aca="1" ref="C19" ca="1">_xll.BDP("YT821868 Corp","DS001")</f>
        <v>#NAME?</v>
      </c>
      <c r="D19" s="1" t="e" cm="1">
        <f t="array" aca="1" ref="D19" ca="1">_xll.BDP("YT821868 Corp","DS458")</f>
        <v>#NAME?</v>
      </c>
      <c r="E19" s="1" t="e" cm="1">
        <f t="array" aca="1" ref="E19" ca="1">_xll.BDP("YT821868 Corp","DS004")</f>
        <v>#NAME?</v>
      </c>
      <c r="F19" s="1" t="e" cm="1">
        <f t="array" aca="1" ref="F19" ca="1">_xll.BDP("YT821868 Corp","DS035")</f>
        <v>#NAME?</v>
      </c>
      <c r="G19" t="e" cm="1">
        <f t="array" aca="1" ref="G19" ca="1">_xll.BDP(A19,"DS086")</f>
        <v>#NAME?</v>
      </c>
      <c r="H19" t="e" cm="1">
        <f t="array" aca="1" ref="H19" ca="1">_xll.BDP(A19,"DS034")</f>
        <v>#NAME?</v>
      </c>
      <c r="I19" s="1" t="e" cm="1">
        <f t="array" aca="1" ref="I19" ca="1">_xll.BDP("YT821868 Corp","DS033")</f>
        <v>#NAME?</v>
      </c>
      <c r="J19" s="1" t="e" cm="1">
        <f t="array" aca="1" ref="J19" ca="1">_xll.BDP(A19,"YL018")</f>
        <v>#NAME?</v>
      </c>
      <c r="K19" s="1" t="e" cm="1">
        <f t="array" aca="1" ref="K19" ca="1">_xll.BDP("YT821868 Corp","YL016")</f>
        <v>#NAME?</v>
      </c>
      <c r="L19" s="1" t="e" cm="1">
        <f t="array" aca="1" ref="L19" ca="1">_xll.BDP("YT821868 Corp","PR004")</f>
        <v>#NAME?</v>
      </c>
      <c r="M19" s="1" t="e" cm="1">
        <f t="array" aca="1" ref="M19" ca="1">_xll.BDP(A19,"PR002")</f>
        <v>#NAME?</v>
      </c>
      <c r="N19" s="1" t="e" cm="1">
        <f t="array" aca="1" ref="N19" ca="1">_xll.BDP(A19,"ID028")</f>
        <v>#NAME?</v>
      </c>
      <c r="O19" s="1" t="e" cm="1">
        <f t="array" aca="1" ref="O19" ca="1">_xll.BDP("YT821868 Corp","ID005")</f>
        <v>#NAME?</v>
      </c>
      <c r="P19" s="1" t="e" cm="1">
        <f t="array" aca="1" ref="P19" ca="1">_xll.BDP("YT821868 Corp","RA007")</f>
        <v>#NAME?</v>
      </c>
      <c r="Q19" s="1" t="e" cm="1">
        <f t="array" aca="1" ref="Q19" ca="1">_xll.BDP("YT821868 Corp","DS219")</f>
        <v>#NAME?</v>
      </c>
      <c r="R19" s="1" t="e" cm="1">
        <f t="array" aca="1" ref="R19" ca="1">_xll.BDP(A19,"DS040")</f>
        <v>#NAME?</v>
      </c>
      <c r="S19" s="4" t="e">
        <f t="shared" ca="1" si="0"/>
        <v>#NAME?</v>
      </c>
    </row>
    <row r="20" spans="1:19" x14ac:dyDescent="0.35">
      <c r="A20" s="5" t="s">
        <v>37</v>
      </c>
      <c r="B20" s="1" t="e" cm="1">
        <f t="array" aca="1" ref="B20" ca="1">_xll.BDP("YT968038 Corp","DS520")</f>
        <v>#NAME?</v>
      </c>
      <c r="C20" s="1" t="e" cm="1">
        <f t="array" aca="1" ref="C20" ca="1">_xll.BDP("YT968038 Corp","DS001")</f>
        <v>#NAME?</v>
      </c>
      <c r="D20" s="1" t="e" cm="1">
        <f t="array" aca="1" ref="D20" ca="1">_xll.BDP("YT968038 Corp","DS458")</f>
        <v>#NAME?</v>
      </c>
      <c r="E20" s="1" t="e" cm="1">
        <f t="array" aca="1" ref="E20" ca="1">_xll.BDP("YT968038 Corp","DS004")</f>
        <v>#NAME?</v>
      </c>
      <c r="F20" s="1" t="e" cm="1">
        <f t="array" aca="1" ref="F20" ca="1">_xll.BDP("YT968038 Corp","DS035")</f>
        <v>#NAME?</v>
      </c>
      <c r="G20" t="e" cm="1">
        <f t="array" aca="1" ref="G20" ca="1">_xll.BDP(A20,"DS086")</f>
        <v>#NAME?</v>
      </c>
      <c r="H20" t="e" cm="1">
        <f t="array" aca="1" ref="H20" ca="1">_xll.BDP(A20,"DS034")</f>
        <v>#NAME?</v>
      </c>
      <c r="I20" s="1" t="e" cm="1">
        <f t="array" aca="1" ref="I20" ca="1">_xll.BDP("YT968038 Corp","DS033")</f>
        <v>#NAME?</v>
      </c>
      <c r="J20" s="1" t="e" cm="1">
        <f t="array" aca="1" ref="J20" ca="1">_xll.BDP(A20,"YL018")</f>
        <v>#NAME?</v>
      </c>
      <c r="K20" s="1" t="e" cm="1">
        <f t="array" aca="1" ref="K20" ca="1">_xll.BDP("YT968038 Corp","YL016")</f>
        <v>#NAME?</v>
      </c>
      <c r="L20" s="1" t="e" cm="1">
        <f t="array" aca="1" ref="L20" ca="1">_xll.BDP("YT968038 Corp","PR004")</f>
        <v>#NAME?</v>
      </c>
      <c r="M20" s="1" t="e" cm="1">
        <f t="array" aca="1" ref="M20" ca="1">_xll.BDP(A20,"PR002")</f>
        <v>#NAME?</v>
      </c>
      <c r="N20" s="1" t="e" cm="1">
        <f t="array" aca="1" ref="N20" ca="1">_xll.BDP(A20,"ID028")</f>
        <v>#NAME?</v>
      </c>
      <c r="O20" s="1" t="e" cm="1">
        <f t="array" aca="1" ref="O20" ca="1">_xll.BDP("YT968038 Corp","ID005")</f>
        <v>#NAME?</v>
      </c>
      <c r="P20" s="1" t="e" cm="1">
        <f t="array" aca="1" ref="P20" ca="1">_xll.BDP("YT968038 Corp","RA007")</f>
        <v>#NAME?</v>
      </c>
      <c r="Q20" s="1" t="e" cm="1">
        <f t="array" aca="1" ref="Q20" ca="1">_xll.BDP("YT968038 Corp","DS219")</f>
        <v>#NAME?</v>
      </c>
      <c r="R20" s="1" t="e" cm="1">
        <f t="array" aca="1" ref="R20" ca="1">_xll.BDP(A20,"DS040")</f>
        <v>#NAME?</v>
      </c>
      <c r="S20" s="4" t="e">
        <f t="shared" ca="1" si="0"/>
        <v>#NAME?</v>
      </c>
    </row>
    <row r="21" spans="1:19" x14ac:dyDescent="0.35">
      <c r="A21" s="5" t="s">
        <v>38</v>
      </c>
      <c r="B21" s="1" t="e" cm="1">
        <f t="array" aca="1" ref="B21" ca="1">_xll.BDP("AP577034 Corp","DS520")</f>
        <v>#NAME?</v>
      </c>
      <c r="C21" s="1" t="e" cm="1">
        <f t="array" aca="1" ref="C21" ca="1">_xll.BDP("AP577034 Corp","DS001")</f>
        <v>#NAME?</v>
      </c>
      <c r="D21" s="1" t="e" cm="1">
        <f t="array" aca="1" ref="D21" ca="1">_xll.BDP("AP577034 Corp","DS458")</f>
        <v>#NAME?</v>
      </c>
      <c r="E21" s="1" t="e" cm="1">
        <f t="array" aca="1" ref="E21" ca="1">_xll.BDP("AP577034 Corp","DS004")</f>
        <v>#NAME?</v>
      </c>
      <c r="F21" s="1" t="e" cm="1">
        <f t="array" aca="1" ref="F21" ca="1">_xll.BDP("AP577034 Corp","DS035")</f>
        <v>#NAME?</v>
      </c>
      <c r="G21" t="e" cm="1">
        <f t="array" aca="1" ref="G21" ca="1">_xll.BDP(A21,"DS086")</f>
        <v>#NAME?</v>
      </c>
      <c r="H21" t="e" cm="1">
        <f t="array" aca="1" ref="H21" ca="1">_xll.BDP(A21,"DS034")</f>
        <v>#NAME?</v>
      </c>
      <c r="I21" s="1" t="e" cm="1">
        <f t="array" aca="1" ref="I21" ca="1">_xll.BDP("AP577034 Corp","DS033")</f>
        <v>#NAME?</v>
      </c>
      <c r="J21" s="1" t="e" cm="1">
        <f t="array" aca="1" ref="J21" ca="1">_xll.BDP(A21,"YL018")</f>
        <v>#NAME?</v>
      </c>
      <c r="K21" s="1" t="e" cm="1">
        <f t="array" aca="1" ref="K21" ca="1">_xll.BDP("AP577034 Corp","YL016")</f>
        <v>#NAME?</v>
      </c>
      <c r="L21" s="1" t="e" cm="1">
        <f t="array" aca="1" ref="L21" ca="1">_xll.BDP("AP577034 Corp","PR004")</f>
        <v>#NAME?</v>
      </c>
      <c r="M21" s="1" t="e" cm="1">
        <f t="array" aca="1" ref="M21" ca="1">_xll.BDP(A21,"PR002")</f>
        <v>#NAME?</v>
      </c>
      <c r="N21" s="1" t="e" cm="1">
        <f t="array" aca="1" ref="N21" ca="1">_xll.BDP(A21,"ID028")</f>
        <v>#NAME?</v>
      </c>
      <c r="O21" s="1" t="e" cm="1">
        <f t="array" aca="1" ref="O21" ca="1">_xll.BDP("AP577034 Corp","ID005")</f>
        <v>#NAME?</v>
      </c>
      <c r="P21" s="1" t="e" cm="1">
        <f t="array" aca="1" ref="P21" ca="1">_xll.BDP("AP577034 Corp","RA007")</f>
        <v>#NAME?</v>
      </c>
      <c r="Q21" s="1" t="e" cm="1">
        <f t="array" aca="1" ref="Q21" ca="1">_xll.BDP("AP577034 Corp","DS219")</f>
        <v>#NAME?</v>
      </c>
      <c r="R21" s="1" t="e" cm="1">
        <f t="array" aca="1" ref="R21" ca="1">_xll.BDP(A21,"DS040")</f>
        <v>#NAME?</v>
      </c>
      <c r="S21" s="4" t="e">
        <f t="shared" ca="1" si="0"/>
        <v>#NAME?</v>
      </c>
    </row>
    <row r="22" spans="1:19" x14ac:dyDescent="0.35">
      <c r="A22" s="5" t="s">
        <v>39</v>
      </c>
      <c r="B22" s="1" t="e" cm="1">
        <f t="array" aca="1" ref="B22" ca="1">_xll.BDP("LW169503 Corp","DS520")</f>
        <v>#NAME?</v>
      </c>
      <c r="C22" s="1" t="e" cm="1">
        <f t="array" aca="1" ref="C22" ca="1">_xll.BDP("LW169503 Corp","DS001")</f>
        <v>#NAME?</v>
      </c>
      <c r="D22" s="1" t="e" cm="1">
        <f t="array" aca="1" ref="D22" ca="1">_xll.BDP("LW169503 Corp","DS458")</f>
        <v>#NAME?</v>
      </c>
      <c r="E22" s="1" t="e" cm="1">
        <f t="array" aca="1" ref="E22" ca="1">_xll.BDP("LW169503 Corp","DS004")</f>
        <v>#NAME?</v>
      </c>
      <c r="F22" s="1" t="e" cm="1">
        <f t="array" aca="1" ref="F22" ca="1">_xll.BDP("LW169503 Corp","DS035")</f>
        <v>#NAME?</v>
      </c>
      <c r="G22" t="e" cm="1">
        <f t="array" aca="1" ref="G22" ca="1">_xll.BDP(A22,"DS086")</f>
        <v>#NAME?</v>
      </c>
      <c r="H22" t="e" cm="1">
        <f t="array" aca="1" ref="H22" ca="1">_xll.BDP(A22,"DS034")</f>
        <v>#NAME?</v>
      </c>
      <c r="I22" s="1" t="e" cm="1">
        <f t="array" aca="1" ref="I22" ca="1">_xll.BDP("LW169503 Corp","DS033")</f>
        <v>#NAME?</v>
      </c>
      <c r="J22" s="1" t="e" cm="1">
        <f t="array" aca="1" ref="J22" ca="1">_xll.BDP(A22,"YL018")</f>
        <v>#NAME?</v>
      </c>
      <c r="K22" s="1" t="e" cm="1">
        <f t="array" aca="1" ref="K22" ca="1">_xll.BDP("LW169503 Corp","YL016")</f>
        <v>#NAME?</v>
      </c>
      <c r="L22" s="1" t="e" cm="1">
        <f t="array" aca="1" ref="L22" ca="1">_xll.BDP("LW169503 Corp","PR004")</f>
        <v>#NAME?</v>
      </c>
      <c r="M22" s="1" t="e" cm="1">
        <f t="array" aca="1" ref="M22" ca="1">_xll.BDP(A22,"PR002")</f>
        <v>#NAME?</v>
      </c>
      <c r="N22" s="1" t="e" cm="1">
        <f t="array" aca="1" ref="N22" ca="1">_xll.BDP(A22,"ID028")</f>
        <v>#NAME?</v>
      </c>
      <c r="O22" s="1" t="e" cm="1">
        <f t="array" aca="1" ref="O22" ca="1">_xll.BDP("LW169503 Corp","ID005")</f>
        <v>#NAME?</v>
      </c>
      <c r="P22" s="1" t="e" cm="1">
        <f t="array" aca="1" ref="P22" ca="1">_xll.BDP("LW169503 Corp","RA007")</f>
        <v>#NAME?</v>
      </c>
      <c r="Q22" s="1" t="e" cm="1">
        <f t="array" aca="1" ref="Q22" ca="1">_xll.BDP("LW169503 Corp","DS219")</f>
        <v>#NAME?</v>
      </c>
      <c r="R22" s="1" t="e" cm="1">
        <f t="array" aca="1" ref="R22" ca="1">_xll.BDP(A22,"DS040")</f>
        <v>#NAME?</v>
      </c>
      <c r="S22" s="4" t="e">
        <f t="shared" ca="1" si="0"/>
        <v>#NAME?</v>
      </c>
    </row>
    <row r="23" spans="1:19" x14ac:dyDescent="0.35">
      <c r="A23" s="5" t="s">
        <v>40</v>
      </c>
      <c r="B23" s="1" t="e" cm="1">
        <f t="array" aca="1" ref="B23" ca="1">_xll.BDP("YK943560 Corp","DS520")</f>
        <v>#NAME?</v>
      </c>
      <c r="C23" s="1" t="e" cm="1">
        <f t="array" aca="1" ref="C23" ca="1">_xll.BDP("YK943560 Corp","DS001")</f>
        <v>#NAME?</v>
      </c>
      <c r="D23" s="1" t="e" cm="1">
        <f t="array" aca="1" ref="D23" ca="1">_xll.BDP("YK943560 Corp","DS458")</f>
        <v>#NAME?</v>
      </c>
      <c r="E23" s="1" t="e" cm="1">
        <f t="array" aca="1" ref="E23" ca="1">_xll.BDP("YK943560 Corp","DS004")</f>
        <v>#NAME?</v>
      </c>
      <c r="F23" s="1" t="e" cm="1">
        <f t="array" aca="1" ref="F23" ca="1">_xll.BDP("YK943560 Corp","DS035")</f>
        <v>#NAME?</v>
      </c>
      <c r="G23" t="e" cm="1">
        <f t="array" aca="1" ref="G23" ca="1">_xll.BDP(A23,"DS086")</f>
        <v>#NAME?</v>
      </c>
      <c r="H23" t="e" cm="1">
        <f t="array" aca="1" ref="H23" ca="1">_xll.BDP(A23,"DS034")</f>
        <v>#NAME?</v>
      </c>
      <c r="I23" s="1" t="e" cm="1">
        <f t="array" aca="1" ref="I23" ca="1">_xll.BDP("YK943560 Corp","DS033")</f>
        <v>#NAME?</v>
      </c>
      <c r="J23" s="1" t="e" cm="1">
        <f t="array" aca="1" ref="J23" ca="1">_xll.BDP(A23,"YL018")</f>
        <v>#NAME?</v>
      </c>
      <c r="K23" s="1" t="e" cm="1">
        <f t="array" aca="1" ref="K23" ca="1">_xll.BDP("YK943560 Corp","YL016")</f>
        <v>#NAME?</v>
      </c>
      <c r="L23" s="1" t="e" cm="1">
        <f t="array" aca="1" ref="L23" ca="1">_xll.BDP("YK943560 Corp","PR004")</f>
        <v>#NAME?</v>
      </c>
      <c r="M23" s="1" t="e" cm="1">
        <f t="array" aca="1" ref="M23" ca="1">_xll.BDP(A23,"PR002")</f>
        <v>#NAME?</v>
      </c>
      <c r="N23" s="1" t="e" cm="1">
        <f t="array" aca="1" ref="N23" ca="1">_xll.BDP(A23,"ID028")</f>
        <v>#NAME?</v>
      </c>
      <c r="O23" s="1" t="e" cm="1">
        <f t="array" aca="1" ref="O23" ca="1">_xll.BDP("YK943560 Corp","ID005")</f>
        <v>#NAME?</v>
      </c>
      <c r="P23" s="1" t="e" cm="1">
        <f t="array" aca="1" ref="P23" ca="1">_xll.BDP("YK943560 Corp","RA007")</f>
        <v>#NAME?</v>
      </c>
      <c r="Q23" s="1" t="e" cm="1">
        <f t="array" aca="1" ref="Q23" ca="1">_xll.BDP("YK943560 Corp","DS219")</f>
        <v>#NAME?</v>
      </c>
      <c r="R23" s="1" t="e" cm="1">
        <f t="array" aca="1" ref="R23" ca="1">_xll.BDP(A23,"DS040")</f>
        <v>#NAME?</v>
      </c>
      <c r="S23" s="4" t="e">
        <f t="shared" ca="1" si="0"/>
        <v>#NAME?</v>
      </c>
    </row>
    <row r="24" spans="1:19" x14ac:dyDescent="0.35">
      <c r="A24" s="5" t="s">
        <v>41</v>
      </c>
      <c r="B24" s="1" t="e" cm="1">
        <f t="array" aca="1" ref="B24" ca="1">_xll.BDP("YT967931 Corp","DS520")</f>
        <v>#NAME?</v>
      </c>
      <c r="C24" s="1" t="e" cm="1">
        <f t="array" aca="1" ref="C24" ca="1">_xll.BDP("YT967931 Corp","DS001")</f>
        <v>#NAME?</v>
      </c>
      <c r="D24" s="1" t="e" cm="1">
        <f t="array" aca="1" ref="D24" ca="1">_xll.BDP("YT967931 Corp","DS458")</f>
        <v>#NAME?</v>
      </c>
      <c r="E24" s="1" t="e" cm="1">
        <f t="array" aca="1" ref="E24" ca="1">_xll.BDP("YT967931 Corp","DS004")</f>
        <v>#NAME?</v>
      </c>
      <c r="F24" s="1" t="e" cm="1">
        <f t="array" aca="1" ref="F24" ca="1">_xll.BDP("YT967931 Corp","DS035")</f>
        <v>#NAME?</v>
      </c>
      <c r="G24" t="e" cm="1">
        <f t="array" aca="1" ref="G24" ca="1">_xll.BDP(A24,"DS086")</f>
        <v>#NAME?</v>
      </c>
      <c r="H24" t="e" cm="1">
        <f t="array" aca="1" ref="H24" ca="1">_xll.BDP(A24,"DS034")</f>
        <v>#NAME?</v>
      </c>
      <c r="I24" s="1" t="e" cm="1">
        <f t="array" aca="1" ref="I24" ca="1">_xll.BDP("YT967931 Corp","DS033")</f>
        <v>#NAME?</v>
      </c>
      <c r="J24" s="1" t="e" cm="1">
        <f t="array" aca="1" ref="J24" ca="1">_xll.BDP(A24,"YL018")</f>
        <v>#NAME?</v>
      </c>
      <c r="K24" s="1" t="e" cm="1">
        <f t="array" aca="1" ref="K24" ca="1">_xll.BDP("YT967931 Corp","YL016")</f>
        <v>#NAME?</v>
      </c>
      <c r="L24" s="1" t="e" cm="1">
        <f t="array" aca="1" ref="L24" ca="1">_xll.BDP("YT967931 Corp","PR004")</f>
        <v>#NAME?</v>
      </c>
      <c r="M24" s="1" t="e" cm="1">
        <f t="array" aca="1" ref="M24" ca="1">_xll.BDP(A24,"PR002")</f>
        <v>#NAME?</v>
      </c>
      <c r="N24" s="1" t="e" cm="1">
        <f t="array" aca="1" ref="N24" ca="1">_xll.BDP(A24,"ID028")</f>
        <v>#NAME?</v>
      </c>
      <c r="O24" s="1" t="e" cm="1">
        <f t="array" aca="1" ref="O24" ca="1">_xll.BDP("YT967931 Corp","ID005")</f>
        <v>#NAME?</v>
      </c>
      <c r="P24" s="1" t="e" cm="1">
        <f t="array" aca="1" ref="P24" ca="1">_xll.BDP("YT967931 Corp","RA007")</f>
        <v>#NAME?</v>
      </c>
      <c r="Q24" s="1" t="e" cm="1">
        <f t="array" aca="1" ref="Q24" ca="1">_xll.BDP("YT967931 Corp","DS219")</f>
        <v>#NAME?</v>
      </c>
      <c r="R24" s="1" t="e" cm="1">
        <f t="array" aca="1" ref="R24" ca="1">_xll.BDP(A24,"DS040")</f>
        <v>#NAME?</v>
      </c>
      <c r="S24" s="4" t="e">
        <f t="shared" ca="1" si="0"/>
        <v>#NAME?</v>
      </c>
    </row>
    <row r="25" spans="1:19" x14ac:dyDescent="0.35">
      <c r="A25" s="5" t="s">
        <v>42</v>
      </c>
      <c r="B25" s="1" t="e" cm="1">
        <f t="array" aca="1" ref="B25" ca="1">_xll.BDP("YV792963 Corp","DS520")</f>
        <v>#NAME?</v>
      </c>
      <c r="C25" s="1" t="e" cm="1">
        <f t="array" aca="1" ref="C25" ca="1">_xll.BDP("YV792963 Corp","DS001")</f>
        <v>#NAME?</v>
      </c>
      <c r="D25" s="1" t="e" cm="1">
        <f t="array" aca="1" ref="D25" ca="1">_xll.BDP("YV792963 Corp","DS458")</f>
        <v>#NAME?</v>
      </c>
      <c r="E25" s="1" t="e" cm="1">
        <f t="array" aca="1" ref="E25" ca="1">_xll.BDP("YV792963 Corp","DS004")</f>
        <v>#NAME?</v>
      </c>
      <c r="F25" s="1" t="e" cm="1">
        <f t="array" aca="1" ref="F25" ca="1">_xll.BDP("YV792963 Corp","DS035")</f>
        <v>#NAME?</v>
      </c>
      <c r="G25" t="e" cm="1">
        <f t="array" aca="1" ref="G25" ca="1">_xll.BDP(A25,"DS086")</f>
        <v>#NAME?</v>
      </c>
      <c r="H25" t="e" cm="1">
        <f t="array" aca="1" ref="H25" ca="1">_xll.BDP(A25,"DS034")</f>
        <v>#NAME?</v>
      </c>
      <c r="I25" s="1" t="e" cm="1">
        <f t="array" aca="1" ref="I25" ca="1">_xll.BDP("YV792963 Corp","DS033")</f>
        <v>#NAME?</v>
      </c>
      <c r="J25" s="1" t="e" cm="1">
        <f t="array" aca="1" ref="J25" ca="1">_xll.BDP(A25,"YL018")</f>
        <v>#NAME?</v>
      </c>
      <c r="K25" s="1" t="e" cm="1">
        <f t="array" aca="1" ref="K25" ca="1">_xll.BDP("YV792963 Corp","YL016")</f>
        <v>#NAME?</v>
      </c>
      <c r="L25" s="1" t="e" cm="1">
        <f t="array" aca="1" ref="L25" ca="1">_xll.BDP("YV792963 Corp","PR004")</f>
        <v>#NAME?</v>
      </c>
      <c r="M25" s="1" t="e" cm="1">
        <f t="array" aca="1" ref="M25" ca="1">_xll.BDP(A25,"PR002")</f>
        <v>#NAME?</v>
      </c>
      <c r="N25" s="1" t="e" cm="1">
        <f t="array" aca="1" ref="N25" ca="1">_xll.BDP(A25,"ID028")</f>
        <v>#NAME?</v>
      </c>
      <c r="O25" s="1" t="e" cm="1">
        <f t="array" aca="1" ref="O25" ca="1">_xll.BDP("YV792963 Corp","ID005")</f>
        <v>#NAME?</v>
      </c>
      <c r="P25" s="1" t="e" cm="1">
        <f t="array" aca="1" ref="P25" ca="1">_xll.BDP("YV792963 Corp","RA007")</f>
        <v>#NAME?</v>
      </c>
      <c r="Q25" s="1" t="e" cm="1">
        <f t="array" aca="1" ref="Q25" ca="1">_xll.BDP("YV792963 Corp","DS219")</f>
        <v>#NAME?</v>
      </c>
      <c r="R25" s="1" t="e" cm="1">
        <f t="array" aca="1" ref="R25" ca="1">_xll.BDP(A25,"DS040")</f>
        <v>#NAME?</v>
      </c>
      <c r="S25" s="4" t="e">
        <f t="shared" ca="1" si="0"/>
        <v>#NAME?</v>
      </c>
    </row>
    <row r="26" spans="1:19" x14ac:dyDescent="0.35">
      <c r="A26" s="5" t="s">
        <v>43</v>
      </c>
      <c r="B26" s="1" t="e" cm="1">
        <f t="array" aca="1" ref="B26" ca="1">_xll.BDP("YV793180 Corp","DS520")</f>
        <v>#NAME?</v>
      </c>
      <c r="C26" s="1" t="e" cm="1">
        <f t="array" aca="1" ref="C26" ca="1">_xll.BDP("YV793180 Corp","DS001")</f>
        <v>#NAME?</v>
      </c>
      <c r="D26" s="1" t="e" cm="1">
        <f t="array" aca="1" ref="D26" ca="1">_xll.BDP("YV793180 Corp","DS458")</f>
        <v>#NAME?</v>
      </c>
      <c r="E26" s="1" t="e" cm="1">
        <f t="array" aca="1" ref="E26" ca="1">_xll.BDP("YV793180 Corp","DS004")</f>
        <v>#NAME?</v>
      </c>
      <c r="F26" s="1" t="e" cm="1">
        <f t="array" aca="1" ref="F26" ca="1">_xll.BDP("YV793180 Corp","DS035")</f>
        <v>#NAME?</v>
      </c>
      <c r="G26" t="e" cm="1">
        <f t="array" aca="1" ref="G26" ca="1">_xll.BDP(A26,"DS086")</f>
        <v>#NAME?</v>
      </c>
      <c r="H26" t="e" cm="1">
        <f t="array" aca="1" ref="H26" ca="1">_xll.BDP(A26,"DS034")</f>
        <v>#NAME?</v>
      </c>
      <c r="I26" s="1" t="e" cm="1">
        <f t="array" aca="1" ref="I26" ca="1">_xll.BDP("YV793180 Corp","DS033")</f>
        <v>#NAME?</v>
      </c>
      <c r="J26" s="1" t="e" cm="1">
        <f t="array" aca="1" ref="J26" ca="1">_xll.BDP(A26,"YL018")</f>
        <v>#NAME?</v>
      </c>
      <c r="K26" s="1" t="e" cm="1">
        <f t="array" aca="1" ref="K26" ca="1">_xll.BDP("YV793180 Corp","YL016")</f>
        <v>#NAME?</v>
      </c>
      <c r="L26" s="1" t="e" cm="1">
        <f t="array" aca="1" ref="L26" ca="1">_xll.BDP("YV793180 Corp","PR004")</f>
        <v>#NAME?</v>
      </c>
      <c r="M26" s="1" t="e" cm="1">
        <f t="array" aca="1" ref="M26" ca="1">_xll.BDP(A26,"PR002")</f>
        <v>#NAME?</v>
      </c>
      <c r="N26" s="1" t="e" cm="1">
        <f t="array" aca="1" ref="N26" ca="1">_xll.BDP(A26,"ID028")</f>
        <v>#NAME?</v>
      </c>
      <c r="O26" s="1" t="e" cm="1">
        <f t="array" aca="1" ref="O26" ca="1">_xll.BDP("YV793180 Corp","ID005")</f>
        <v>#NAME?</v>
      </c>
      <c r="P26" s="1" t="e" cm="1">
        <f t="array" aca="1" ref="P26" ca="1">_xll.BDP("YV793180 Corp","RA007")</f>
        <v>#NAME?</v>
      </c>
      <c r="Q26" s="1" t="e" cm="1">
        <f t="array" aca="1" ref="Q26" ca="1">_xll.BDP("YV793180 Corp","DS219")</f>
        <v>#NAME?</v>
      </c>
      <c r="R26" s="1" t="e" cm="1">
        <f t="array" aca="1" ref="R26" ca="1">_xll.BDP(A26,"DS040")</f>
        <v>#NAME?</v>
      </c>
      <c r="S26" s="4" t="e">
        <f t="shared" ca="1" si="0"/>
        <v>#NAME?</v>
      </c>
    </row>
    <row r="27" spans="1:19" x14ac:dyDescent="0.35">
      <c r="A27" s="5" t="s">
        <v>44</v>
      </c>
      <c r="B27" s="1" t="e" cm="1">
        <f t="array" aca="1" ref="B27" ca="1">_xll.BDP("ZD637368 Corp","DS520")</f>
        <v>#NAME?</v>
      </c>
      <c r="C27" s="1" t="e" cm="1">
        <f t="array" aca="1" ref="C27" ca="1">_xll.BDP("ZD637368 Corp","DS001")</f>
        <v>#NAME?</v>
      </c>
      <c r="D27" s="1" t="e" cm="1">
        <f t="array" aca="1" ref="D27" ca="1">_xll.BDP("ZD637368 Corp","DS458")</f>
        <v>#NAME?</v>
      </c>
      <c r="E27" s="1" t="e" cm="1">
        <f t="array" aca="1" ref="E27" ca="1">_xll.BDP("ZD637368 Corp","DS004")</f>
        <v>#NAME?</v>
      </c>
      <c r="F27" s="1" t="e" cm="1">
        <f t="array" aca="1" ref="F27" ca="1">_xll.BDP("ZD637368 Corp","DS035")</f>
        <v>#NAME?</v>
      </c>
      <c r="G27" t="e" cm="1">
        <f t="array" aca="1" ref="G27" ca="1">_xll.BDP(A27,"DS086")</f>
        <v>#NAME?</v>
      </c>
      <c r="H27" t="e" cm="1">
        <f t="array" aca="1" ref="H27" ca="1">_xll.BDP(A27,"DS034")</f>
        <v>#NAME?</v>
      </c>
      <c r="I27" s="1" t="e" cm="1">
        <f t="array" aca="1" ref="I27" ca="1">_xll.BDP("ZD637368 Corp","DS033")</f>
        <v>#NAME?</v>
      </c>
      <c r="J27" s="1" t="e" cm="1">
        <f t="array" aca="1" ref="J27" ca="1">_xll.BDP(A27,"YL018")</f>
        <v>#NAME?</v>
      </c>
      <c r="K27" s="1" t="e" cm="1">
        <f t="array" aca="1" ref="K27" ca="1">_xll.BDP("ZD637368 Corp","YL016")</f>
        <v>#NAME?</v>
      </c>
      <c r="L27" s="1" t="e" cm="1">
        <f t="array" aca="1" ref="L27" ca="1">_xll.BDP("ZD637368 Corp","PR004")</f>
        <v>#NAME?</v>
      </c>
      <c r="M27" s="1" t="e" cm="1">
        <f t="array" aca="1" ref="M27" ca="1">_xll.BDP(A27,"PR002")</f>
        <v>#NAME?</v>
      </c>
      <c r="N27" s="1" t="e" cm="1">
        <f t="array" aca="1" ref="N27" ca="1">_xll.BDP(A27,"ID028")</f>
        <v>#NAME?</v>
      </c>
      <c r="O27" s="1" t="e" cm="1">
        <f t="array" aca="1" ref="O27" ca="1">_xll.BDP("ZD637368 Corp","ID005")</f>
        <v>#NAME?</v>
      </c>
      <c r="P27" s="1" t="e" cm="1">
        <f t="array" aca="1" ref="P27" ca="1">_xll.BDP("ZD637368 Corp","RA007")</f>
        <v>#NAME?</v>
      </c>
      <c r="Q27" s="1" t="e" cm="1">
        <f t="array" aca="1" ref="Q27" ca="1">_xll.BDP("ZD637368 Corp","DS219")</f>
        <v>#NAME?</v>
      </c>
      <c r="R27" s="1" t="e" cm="1">
        <f t="array" aca="1" ref="R27" ca="1">_xll.BDP(A27,"DS040")</f>
        <v>#NAME?</v>
      </c>
      <c r="S27" s="4" t="e">
        <f t="shared" ca="1" si="0"/>
        <v>#NAME?</v>
      </c>
    </row>
    <row r="28" spans="1:19" x14ac:dyDescent="0.35">
      <c r="A28" s="5" t="s">
        <v>45</v>
      </c>
      <c r="B28" s="1" t="e" cm="1">
        <f t="array" aca="1" ref="B28" ca="1">_xll.BDP("ZK701516 Corp","DS520")</f>
        <v>#NAME?</v>
      </c>
      <c r="C28" s="1" t="e" cm="1">
        <f t="array" aca="1" ref="C28" ca="1">_xll.BDP("ZK701516 Corp","DS001")</f>
        <v>#NAME?</v>
      </c>
      <c r="D28" s="1" t="e" cm="1">
        <f t="array" aca="1" ref="D28" ca="1">_xll.BDP("ZK701516 Corp","DS458")</f>
        <v>#NAME?</v>
      </c>
      <c r="E28" s="1" t="e" cm="1">
        <f t="array" aca="1" ref="E28" ca="1">_xll.BDP("ZK701516 Corp","DS004")</f>
        <v>#NAME?</v>
      </c>
      <c r="F28" s="1" t="e" cm="1">
        <f t="array" aca="1" ref="F28" ca="1">_xll.BDP("ZK701516 Corp","DS035")</f>
        <v>#NAME?</v>
      </c>
      <c r="G28" t="e" cm="1">
        <f t="array" aca="1" ref="G28" ca="1">_xll.BDP(A28,"DS086")</f>
        <v>#NAME?</v>
      </c>
      <c r="H28" t="e" cm="1">
        <f t="array" aca="1" ref="H28" ca="1">_xll.BDP(A28,"DS034")</f>
        <v>#NAME?</v>
      </c>
      <c r="I28" s="1" t="e" cm="1">
        <f t="array" aca="1" ref="I28" ca="1">_xll.BDP("ZK701516 Corp","DS033")</f>
        <v>#NAME?</v>
      </c>
      <c r="J28" s="1" t="e" cm="1">
        <f t="array" aca="1" ref="J28" ca="1">_xll.BDP(A28,"YL018")</f>
        <v>#NAME?</v>
      </c>
      <c r="K28" s="1" t="e" cm="1">
        <f t="array" aca="1" ref="K28" ca="1">_xll.BDP("ZK701516 Corp","YL016")</f>
        <v>#NAME?</v>
      </c>
      <c r="L28" s="1" t="e" cm="1">
        <f t="array" aca="1" ref="L28" ca="1">_xll.BDP("ZK701516 Corp","PR004")</f>
        <v>#NAME?</v>
      </c>
      <c r="M28" s="1" t="e" cm="1">
        <f t="array" aca="1" ref="M28" ca="1">_xll.BDP(A28,"PR002")</f>
        <v>#NAME?</v>
      </c>
      <c r="N28" s="1" t="e" cm="1">
        <f t="array" aca="1" ref="N28" ca="1">_xll.BDP(A28,"ID028")</f>
        <v>#NAME?</v>
      </c>
      <c r="O28" s="1" t="e" cm="1">
        <f t="array" aca="1" ref="O28" ca="1">_xll.BDP("ZK701516 Corp","ID005")</f>
        <v>#NAME?</v>
      </c>
      <c r="P28" s="1" t="e" cm="1">
        <f t="array" aca="1" ref="P28" ca="1">_xll.BDP("ZK701516 Corp","RA007")</f>
        <v>#NAME?</v>
      </c>
      <c r="Q28" s="1" t="e" cm="1">
        <f t="array" aca="1" ref="Q28" ca="1">_xll.BDP("ZK701516 Corp","DS219")</f>
        <v>#NAME?</v>
      </c>
      <c r="R28" s="1" t="e" cm="1">
        <f t="array" aca="1" ref="R28" ca="1">_xll.BDP(A28,"DS040")</f>
        <v>#NAME?</v>
      </c>
      <c r="S28" s="4" t="e">
        <f t="shared" ca="1" si="0"/>
        <v>#NAME?</v>
      </c>
    </row>
    <row r="29" spans="1:19" x14ac:dyDescent="0.35">
      <c r="A29" s="5" t="s">
        <v>46</v>
      </c>
      <c r="B29" s="1" t="e" cm="1">
        <f t="array" aca="1" ref="B29" ca="1">_xll.BDP("ZK701649 Corp","DS520")</f>
        <v>#NAME?</v>
      </c>
      <c r="C29" s="1" t="e" cm="1">
        <f t="array" aca="1" ref="C29" ca="1">_xll.BDP("ZK701649 Corp","DS001")</f>
        <v>#NAME?</v>
      </c>
      <c r="D29" s="1" t="e" cm="1">
        <f t="array" aca="1" ref="D29" ca="1">_xll.BDP("ZK701649 Corp","DS458")</f>
        <v>#NAME?</v>
      </c>
      <c r="E29" s="1" t="e" cm="1">
        <f t="array" aca="1" ref="E29" ca="1">_xll.BDP("ZK701649 Corp","DS004")</f>
        <v>#NAME?</v>
      </c>
      <c r="F29" s="1" t="e" cm="1">
        <f t="array" aca="1" ref="F29" ca="1">_xll.BDP("ZK701649 Corp","DS035")</f>
        <v>#NAME?</v>
      </c>
      <c r="G29" t="e" cm="1">
        <f t="array" aca="1" ref="G29" ca="1">_xll.BDP(A29,"DS086")</f>
        <v>#NAME?</v>
      </c>
      <c r="H29" t="e" cm="1">
        <f t="array" aca="1" ref="H29" ca="1">_xll.BDP(A29,"DS034")</f>
        <v>#NAME?</v>
      </c>
      <c r="I29" s="1" t="e" cm="1">
        <f t="array" aca="1" ref="I29" ca="1">_xll.BDP("ZK701649 Corp","DS033")</f>
        <v>#NAME?</v>
      </c>
      <c r="J29" s="1" t="e" cm="1">
        <f t="array" aca="1" ref="J29" ca="1">_xll.BDP(A29,"YL018")</f>
        <v>#NAME?</v>
      </c>
      <c r="K29" s="1" t="e" cm="1">
        <f t="array" aca="1" ref="K29" ca="1">_xll.BDP("ZK701649 Corp","YL016")</f>
        <v>#NAME?</v>
      </c>
      <c r="L29" s="1" t="e" cm="1">
        <f t="array" aca="1" ref="L29" ca="1">_xll.BDP("ZK701649 Corp","PR004")</f>
        <v>#NAME?</v>
      </c>
      <c r="M29" s="1" t="e" cm="1">
        <f t="array" aca="1" ref="M29" ca="1">_xll.BDP(A29,"PR002")</f>
        <v>#NAME?</v>
      </c>
      <c r="N29" s="1" t="e" cm="1">
        <f t="array" aca="1" ref="N29" ca="1">_xll.BDP(A29,"ID028")</f>
        <v>#NAME?</v>
      </c>
      <c r="O29" s="1" t="e" cm="1">
        <f t="array" aca="1" ref="O29" ca="1">_xll.BDP("ZK701649 Corp","ID005")</f>
        <v>#NAME?</v>
      </c>
      <c r="P29" s="1" t="e" cm="1">
        <f t="array" aca="1" ref="P29" ca="1">_xll.BDP("ZK701649 Corp","RA007")</f>
        <v>#NAME?</v>
      </c>
      <c r="Q29" s="1" t="e" cm="1">
        <f t="array" aca="1" ref="Q29" ca="1">_xll.BDP("ZK701649 Corp","DS219")</f>
        <v>#NAME?</v>
      </c>
      <c r="R29" s="1" t="e" cm="1">
        <f t="array" aca="1" ref="R29" ca="1">_xll.BDP(A29,"DS040")</f>
        <v>#NAME?</v>
      </c>
      <c r="S29" s="4" t="e">
        <f t="shared" ca="1" si="0"/>
        <v>#NAME?</v>
      </c>
    </row>
    <row r="30" spans="1:19" x14ac:dyDescent="0.35">
      <c r="A30" s="5" t="s">
        <v>47</v>
      </c>
      <c r="B30" s="1" t="e" cm="1">
        <f t="array" aca="1" ref="B30" ca="1">_xll.BDP("AO295977 Corp","DS520")</f>
        <v>#NAME?</v>
      </c>
      <c r="C30" s="1" t="e" cm="1">
        <f t="array" aca="1" ref="C30" ca="1">_xll.BDP("AO295977 Corp","DS001")</f>
        <v>#NAME?</v>
      </c>
      <c r="D30" s="1" t="e" cm="1">
        <f t="array" aca="1" ref="D30" ca="1">_xll.BDP("AO295977 Corp","DS458")</f>
        <v>#NAME?</v>
      </c>
      <c r="E30" s="1" t="e" cm="1">
        <f t="array" aca="1" ref="E30" ca="1">_xll.BDP("AO295977 Corp","DS004")</f>
        <v>#NAME?</v>
      </c>
      <c r="F30" s="1" t="e" cm="1">
        <f t="array" aca="1" ref="F30" ca="1">_xll.BDP("AO295977 Corp","DS035")</f>
        <v>#NAME?</v>
      </c>
      <c r="G30" t="e" cm="1">
        <f t="array" aca="1" ref="G30" ca="1">_xll.BDP(A30,"DS086")</f>
        <v>#NAME?</v>
      </c>
      <c r="H30" t="e" cm="1">
        <f t="array" aca="1" ref="H30" ca="1">_xll.BDP(A30,"DS034")</f>
        <v>#NAME?</v>
      </c>
      <c r="I30" s="1" t="e" cm="1">
        <f t="array" aca="1" ref="I30" ca="1">_xll.BDP("AO295977 Corp","DS033")</f>
        <v>#NAME?</v>
      </c>
      <c r="J30" s="1" t="e" cm="1">
        <f t="array" aca="1" ref="J30" ca="1">_xll.BDP(A30,"YL018")</f>
        <v>#NAME?</v>
      </c>
      <c r="K30" s="1" t="e" cm="1">
        <f t="array" aca="1" ref="K30" ca="1">_xll.BDP("AO295977 Corp","YL016")</f>
        <v>#NAME?</v>
      </c>
      <c r="L30" s="1" t="e" cm="1">
        <f t="array" aca="1" ref="L30" ca="1">_xll.BDP("AO295977 Corp","PR004")</f>
        <v>#NAME?</v>
      </c>
      <c r="M30" s="1" t="e" cm="1">
        <f t="array" aca="1" ref="M30" ca="1">_xll.BDP(A30,"PR002")</f>
        <v>#NAME?</v>
      </c>
      <c r="N30" s="1" t="e" cm="1">
        <f t="array" aca="1" ref="N30" ca="1">_xll.BDP(A30,"ID028")</f>
        <v>#NAME?</v>
      </c>
      <c r="O30" s="1" t="e" cm="1">
        <f t="array" aca="1" ref="O30" ca="1">_xll.BDP("AO295977 Corp","ID005")</f>
        <v>#NAME?</v>
      </c>
      <c r="P30" s="1" t="e" cm="1">
        <f t="array" aca="1" ref="P30" ca="1">_xll.BDP("AO295977 Corp","RA007")</f>
        <v>#NAME?</v>
      </c>
      <c r="Q30" s="1" t="e" cm="1">
        <f t="array" aca="1" ref="Q30" ca="1">_xll.BDP("AO295977 Corp","DS219")</f>
        <v>#NAME?</v>
      </c>
      <c r="R30" s="1" t="e" cm="1">
        <f t="array" aca="1" ref="R30" ca="1">_xll.BDP(A30,"DS040")</f>
        <v>#NAME?</v>
      </c>
      <c r="S30" s="4" t="e">
        <f t="shared" ca="1" si="0"/>
        <v>#NAME?</v>
      </c>
    </row>
    <row r="31" spans="1:19" x14ac:dyDescent="0.35">
      <c r="A31" s="5" t="s">
        <v>48</v>
      </c>
      <c r="B31" s="1" t="e" cm="1">
        <f t="array" aca="1" ref="B31" ca="1">_xll.BDP("AU925890 Corp","DS520")</f>
        <v>#NAME?</v>
      </c>
      <c r="C31" s="1" t="e" cm="1">
        <f t="array" aca="1" ref="C31" ca="1">_xll.BDP("AU925890 Corp","DS001")</f>
        <v>#NAME?</v>
      </c>
      <c r="D31" s="1" t="e" cm="1">
        <f t="array" aca="1" ref="D31" ca="1">_xll.BDP("AU925890 Corp","DS458")</f>
        <v>#NAME?</v>
      </c>
      <c r="E31" s="1" t="e" cm="1">
        <f t="array" aca="1" ref="E31" ca="1">_xll.BDP("AU925890 Corp","DS004")</f>
        <v>#NAME?</v>
      </c>
      <c r="F31" s="1" t="e" cm="1">
        <f t="array" aca="1" ref="F31" ca="1">_xll.BDP("AU925890 Corp","DS035")</f>
        <v>#NAME?</v>
      </c>
      <c r="G31" t="e" cm="1">
        <f t="array" aca="1" ref="G31" ca="1">_xll.BDP(A31,"DS086")</f>
        <v>#NAME?</v>
      </c>
      <c r="H31" t="e" cm="1">
        <f t="array" aca="1" ref="H31" ca="1">_xll.BDP(A31,"DS034")</f>
        <v>#NAME?</v>
      </c>
      <c r="I31" s="1" t="e" cm="1">
        <f t="array" aca="1" ref="I31" ca="1">_xll.BDP("AU925890 Corp","DS033")</f>
        <v>#NAME?</v>
      </c>
      <c r="J31" s="1" t="e" cm="1">
        <f t="array" aca="1" ref="J31" ca="1">_xll.BDP(A31,"YL018")</f>
        <v>#NAME?</v>
      </c>
      <c r="K31" s="1" t="e" cm="1">
        <f t="array" aca="1" ref="K31" ca="1">_xll.BDP("AU925890 Corp","YL016")</f>
        <v>#NAME?</v>
      </c>
      <c r="L31" s="1" t="e" cm="1">
        <f t="array" aca="1" ref="L31" ca="1">_xll.BDP("AU925890 Corp","PR004")</f>
        <v>#NAME?</v>
      </c>
      <c r="M31" s="1" t="e" cm="1">
        <f t="array" aca="1" ref="M31" ca="1">_xll.BDP(A31,"PR002")</f>
        <v>#NAME?</v>
      </c>
      <c r="N31" s="1" t="e" cm="1">
        <f t="array" aca="1" ref="N31" ca="1">_xll.BDP(A31,"ID028")</f>
        <v>#NAME?</v>
      </c>
      <c r="O31" s="1" t="e" cm="1">
        <f t="array" aca="1" ref="O31" ca="1">_xll.BDP("AU925890 Corp","ID005")</f>
        <v>#NAME?</v>
      </c>
      <c r="P31" s="1" t="e" cm="1">
        <f t="array" aca="1" ref="P31" ca="1">_xll.BDP("AU925890 Corp","RA007")</f>
        <v>#NAME?</v>
      </c>
      <c r="Q31" s="1" t="e" cm="1">
        <f t="array" aca="1" ref="Q31" ca="1">_xll.BDP("AU925890 Corp","DS219")</f>
        <v>#NAME?</v>
      </c>
      <c r="R31" s="1" t="e" cm="1">
        <f t="array" aca="1" ref="R31" ca="1">_xll.BDP(A31,"DS040")</f>
        <v>#NAME?</v>
      </c>
      <c r="S31" s="4" t="e">
        <f t="shared" ca="1" si="0"/>
        <v>#NAME?</v>
      </c>
    </row>
    <row r="32" spans="1:19" x14ac:dyDescent="0.35">
      <c r="A32" s="5" t="s">
        <v>49</v>
      </c>
      <c r="B32" s="1" t="e" cm="1">
        <f t="array" aca="1" ref="B32" ca="1">_xll.BDP("BO579315 Corp","DS520")</f>
        <v>#NAME?</v>
      </c>
      <c r="C32" s="1" t="e" cm="1">
        <f t="array" aca="1" ref="C32" ca="1">_xll.BDP("BO579315 Corp","DS001")</f>
        <v>#NAME?</v>
      </c>
      <c r="D32" s="1" t="e" cm="1">
        <f t="array" aca="1" ref="D32" ca="1">_xll.BDP("BO579315 Corp","DS458")</f>
        <v>#NAME?</v>
      </c>
      <c r="E32" s="1" t="e" cm="1">
        <f t="array" aca="1" ref="E32" ca="1">_xll.BDP("BO579315 Corp","DS004")</f>
        <v>#NAME?</v>
      </c>
      <c r="F32" s="1" t="e" cm="1">
        <f t="array" aca="1" ref="F32" ca="1">_xll.BDP("BO579315 Corp","DS035")</f>
        <v>#NAME?</v>
      </c>
      <c r="G32" t="e" cm="1">
        <f t="array" aca="1" ref="G32" ca="1">_xll.BDP(A32,"DS086")</f>
        <v>#NAME?</v>
      </c>
      <c r="H32" t="e" cm="1">
        <f t="array" aca="1" ref="H32" ca="1">_xll.BDP(A32,"DS034")</f>
        <v>#NAME?</v>
      </c>
      <c r="I32" s="1" t="e" cm="1">
        <f t="array" aca="1" ref="I32" ca="1">_xll.BDP("BO579315 Corp","DS033")</f>
        <v>#NAME?</v>
      </c>
      <c r="J32" s="1" t="e" cm="1">
        <f t="array" aca="1" ref="J32" ca="1">_xll.BDP(A32,"YL018")</f>
        <v>#NAME?</v>
      </c>
      <c r="K32" s="1" t="e" cm="1">
        <f t="array" aca="1" ref="K32" ca="1">_xll.BDP("BO579315 Corp","YL016")</f>
        <v>#NAME?</v>
      </c>
      <c r="L32" s="1" t="e" cm="1">
        <f t="array" aca="1" ref="L32" ca="1">_xll.BDP("BO579315 Corp","PR004")</f>
        <v>#NAME?</v>
      </c>
      <c r="M32" s="1" t="e" cm="1">
        <f t="array" aca="1" ref="M32" ca="1">_xll.BDP(A32,"PR002")</f>
        <v>#NAME?</v>
      </c>
      <c r="N32" s="1" t="e" cm="1">
        <f t="array" aca="1" ref="N32" ca="1">_xll.BDP(A32,"ID028")</f>
        <v>#NAME?</v>
      </c>
      <c r="O32" s="1" t="e" cm="1">
        <f t="array" aca="1" ref="O32" ca="1">_xll.BDP("BO579315 Corp","ID005")</f>
        <v>#NAME?</v>
      </c>
      <c r="P32" s="1" t="e" cm="1">
        <f t="array" aca="1" ref="P32" ca="1">_xll.BDP("BO579315 Corp","RA007")</f>
        <v>#NAME?</v>
      </c>
      <c r="Q32" s="1" t="e" cm="1">
        <f t="array" aca="1" ref="Q32" ca="1">_xll.BDP("BO579315 Corp","DS219")</f>
        <v>#NAME?</v>
      </c>
      <c r="R32" s="1" t="e" cm="1">
        <f t="array" aca="1" ref="R32" ca="1">_xll.BDP(A32,"DS040")</f>
        <v>#NAME?</v>
      </c>
      <c r="S32" s="4" t="e">
        <f t="shared" ca="1" si="0"/>
        <v>#NAME?</v>
      </c>
    </row>
    <row r="33" spans="1:19" x14ac:dyDescent="0.35">
      <c r="A33" s="5" t="s">
        <v>50</v>
      </c>
      <c r="B33" s="1" t="e" cm="1">
        <f t="array" aca="1" ref="B33" ca="1">_xll.BDP("BW601098 Corp","DS520")</f>
        <v>#NAME?</v>
      </c>
      <c r="C33" s="1" t="e" cm="1">
        <f t="array" aca="1" ref="C33" ca="1">_xll.BDP("BW601098 Corp","DS001")</f>
        <v>#NAME?</v>
      </c>
      <c r="D33" s="1" t="e" cm="1">
        <f t="array" aca="1" ref="D33" ca="1">_xll.BDP("BW601098 Corp","DS458")</f>
        <v>#NAME?</v>
      </c>
      <c r="E33" s="1" t="e" cm="1">
        <f t="array" aca="1" ref="E33" ca="1">_xll.BDP("BW601098 Corp","DS004")</f>
        <v>#NAME?</v>
      </c>
      <c r="F33" s="1" t="e" cm="1">
        <f t="array" aca="1" ref="F33" ca="1">_xll.BDP("BW601098 Corp","DS035")</f>
        <v>#NAME?</v>
      </c>
      <c r="G33" t="e" cm="1">
        <f t="array" aca="1" ref="G33" ca="1">_xll.BDP(A33,"DS086")</f>
        <v>#NAME?</v>
      </c>
      <c r="H33" t="e" cm="1">
        <f t="array" aca="1" ref="H33" ca="1">_xll.BDP(A33,"DS034")</f>
        <v>#NAME?</v>
      </c>
      <c r="I33" s="1" t="e" cm="1">
        <f t="array" aca="1" ref="I33" ca="1">_xll.BDP("BW601098 Corp","DS033")</f>
        <v>#NAME?</v>
      </c>
      <c r="J33" s="1" t="e" cm="1">
        <f t="array" aca="1" ref="J33" ca="1">_xll.BDP(A33,"YL018")</f>
        <v>#NAME?</v>
      </c>
      <c r="K33" s="1" t="e" cm="1">
        <f t="array" aca="1" ref="K33" ca="1">_xll.BDP("BW601098 Corp","YL016")</f>
        <v>#NAME?</v>
      </c>
      <c r="L33" s="1" t="e" cm="1">
        <f t="array" aca="1" ref="L33" ca="1">_xll.BDP("BW601098 Corp","PR004")</f>
        <v>#NAME?</v>
      </c>
      <c r="M33" s="1" t="e" cm="1">
        <f t="array" aca="1" ref="M33" ca="1">_xll.BDP(A33,"PR002")</f>
        <v>#NAME?</v>
      </c>
      <c r="N33" s="1" t="e" cm="1">
        <f t="array" aca="1" ref="N33" ca="1">_xll.BDP(A33,"ID028")</f>
        <v>#NAME?</v>
      </c>
      <c r="O33" s="1" t="e" cm="1">
        <f t="array" aca="1" ref="O33" ca="1">_xll.BDP("BW601098 Corp","ID005")</f>
        <v>#NAME?</v>
      </c>
      <c r="P33" s="1" t="e" cm="1">
        <f t="array" aca="1" ref="P33" ca="1">_xll.BDP("BW601098 Corp","RA007")</f>
        <v>#NAME?</v>
      </c>
      <c r="Q33" s="1" t="e" cm="1">
        <f t="array" aca="1" ref="Q33" ca="1">_xll.BDP("BW601098 Corp","DS219")</f>
        <v>#NAME?</v>
      </c>
      <c r="R33" s="1" t="e" cm="1">
        <f t="array" aca="1" ref="R33" ca="1">_xll.BDP(A33,"DS040")</f>
        <v>#NAME?</v>
      </c>
      <c r="S33" s="4" t="e">
        <f t="shared" ca="1" si="0"/>
        <v>#NAME?</v>
      </c>
    </row>
    <row r="34" spans="1:19" x14ac:dyDescent="0.35">
      <c r="A34" s="5" t="s">
        <v>51</v>
      </c>
      <c r="B34" s="1" t="e" cm="1">
        <f t="array" aca="1" ref="B34" ca="1">_xll.BDP("YK173548 Corp","DS520")</f>
        <v>#NAME?</v>
      </c>
      <c r="C34" s="1" t="e" cm="1">
        <f t="array" aca="1" ref="C34" ca="1">_xll.BDP("YK173548 Corp","DS001")</f>
        <v>#NAME?</v>
      </c>
      <c r="D34" s="1" t="e" cm="1">
        <f t="array" aca="1" ref="D34" ca="1">_xll.BDP("YK173548 Corp","DS458")</f>
        <v>#NAME?</v>
      </c>
      <c r="E34" s="1" t="e" cm="1">
        <f t="array" aca="1" ref="E34" ca="1">_xll.BDP("YK173548 Corp","DS004")</f>
        <v>#NAME?</v>
      </c>
      <c r="F34" s="1" t="e" cm="1">
        <f t="array" aca="1" ref="F34" ca="1">_xll.BDP("YK173548 Corp","DS035")</f>
        <v>#NAME?</v>
      </c>
      <c r="G34" t="e" cm="1">
        <f t="array" aca="1" ref="G34" ca="1">_xll.BDP(A34,"DS086")</f>
        <v>#NAME?</v>
      </c>
      <c r="H34" t="e" cm="1">
        <f t="array" aca="1" ref="H34" ca="1">_xll.BDP(A34,"DS034")</f>
        <v>#NAME?</v>
      </c>
      <c r="I34" s="1" t="e" cm="1">
        <f t="array" aca="1" ref="I34" ca="1">_xll.BDP("YK173548 Corp","DS033")</f>
        <v>#NAME?</v>
      </c>
      <c r="J34" s="1" t="e" cm="1">
        <f t="array" aca="1" ref="J34" ca="1">_xll.BDP(A34,"YL018")</f>
        <v>#NAME?</v>
      </c>
      <c r="K34" s="1" t="e" cm="1">
        <f t="array" aca="1" ref="K34" ca="1">_xll.BDP("YK173548 Corp","YL016")</f>
        <v>#NAME?</v>
      </c>
      <c r="L34" s="1" t="e" cm="1">
        <f t="array" aca="1" ref="L34" ca="1">_xll.BDP("YK173548 Corp","PR004")</f>
        <v>#NAME?</v>
      </c>
      <c r="M34" s="1" t="e" cm="1">
        <f t="array" aca="1" ref="M34" ca="1">_xll.BDP(A34,"PR002")</f>
        <v>#NAME?</v>
      </c>
      <c r="N34" s="1" t="e" cm="1">
        <f t="array" aca="1" ref="N34" ca="1">_xll.BDP(A34,"ID028")</f>
        <v>#NAME?</v>
      </c>
      <c r="O34" s="1" t="e" cm="1">
        <f t="array" aca="1" ref="O34" ca="1">_xll.BDP("YK173548 Corp","ID005")</f>
        <v>#NAME?</v>
      </c>
      <c r="P34" s="1" t="e" cm="1">
        <f t="array" aca="1" ref="P34" ca="1">_xll.BDP("YK173548 Corp","RA007")</f>
        <v>#NAME?</v>
      </c>
      <c r="Q34" s="1" t="e" cm="1">
        <f t="array" aca="1" ref="Q34" ca="1">_xll.BDP("YK173548 Corp","DS219")</f>
        <v>#NAME?</v>
      </c>
      <c r="R34" s="1" t="e" cm="1">
        <f t="array" aca="1" ref="R34" ca="1">_xll.BDP(A34,"DS040")</f>
        <v>#NAME?</v>
      </c>
      <c r="S34" s="4" t="e">
        <f t="shared" ca="1" si="0"/>
        <v>#NAME?</v>
      </c>
    </row>
    <row r="35" spans="1:19" x14ac:dyDescent="0.35">
      <c r="A35" s="5" t="s">
        <v>52</v>
      </c>
      <c r="B35" s="1" t="e" cm="1">
        <f t="array" aca="1" ref="B35" ca="1">_xll.BDP("ZI885869 Corp","DS520")</f>
        <v>#NAME?</v>
      </c>
      <c r="C35" s="1" t="e" cm="1">
        <f t="array" aca="1" ref="C35" ca="1">_xll.BDP("ZI885869 Corp","DS001")</f>
        <v>#NAME?</v>
      </c>
      <c r="D35" s="1" t="e" cm="1">
        <f t="array" aca="1" ref="D35" ca="1">_xll.BDP("ZI885869 Corp","DS458")</f>
        <v>#NAME?</v>
      </c>
      <c r="E35" s="1" t="e" cm="1">
        <f t="array" aca="1" ref="E35" ca="1">_xll.BDP("ZI885869 Corp","DS004")</f>
        <v>#NAME?</v>
      </c>
      <c r="F35" s="1" t="e" cm="1">
        <f t="array" aca="1" ref="F35" ca="1">_xll.BDP("ZI885869 Corp","DS035")</f>
        <v>#NAME?</v>
      </c>
      <c r="G35" t="e" cm="1">
        <f t="array" aca="1" ref="G35" ca="1">_xll.BDP(A35,"DS086")</f>
        <v>#NAME?</v>
      </c>
      <c r="H35" t="e" cm="1">
        <f t="array" aca="1" ref="H35" ca="1">_xll.BDP(A35,"DS034")</f>
        <v>#NAME?</v>
      </c>
      <c r="I35" s="1" t="e" cm="1">
        <f t="array" aca="1" ref="I35" ca="1">_xll.BDP("ZI885869 Corp","DS033")</f>
        <v>#NAME?</v>
      </c>
      <c r="J35" s="1" t="e" cm="1">
        <f t="array" aca="1" ref="J35" ca="1">_xll.BDP(A35,"YL018")</f>
        <v>#NAME?</v>
      </c>
      <c r="K35" s="1" t="e" cm="1">
        <f t="array" aca="1" ref="K35" ca="1">_xll.BDP("ZI885869 Corp","YL016")</f>
        <v>#NAME?</v>
      </c>
      <c r="L35" s="1" t="e" cm="1">
        <f t="array" aca="1" ref="L35" ca="1">_xll.BDP("ZI885869 Corp","PR004")</f>
        <v>#NAME?</v>
      </c>
      <c r="M35" s="1" t="e" cm="1">
        <f t="array" aca="1" ref="M35" ca="1">_xll.BDP(A35,"PR002")</f>
        <v>#NAME?</v>
      </c>
      <c r="N35" s="1" t="e" cm="1">
        <f t="array" aca="1" ref="N35" ca="1">_xll.BDP(A35,"ID028")</f>
        <v>#NAME?</v>
      </c>
      <c r="O35" s="1" t="e" cm="1">
        <f t="array" aca="1" ref="O35" ca="1">_xll.BDP("ZI885869 Corp","ID005")</f>
        <v>#NAME?</v>
      </c>
      <c r="P35" s="1" t="e" cm="1">
        <f t="array" aca="1" ref="P35" ca="1">_xll.BDP("ZI885869 Corp","RA007")</f>
        <v>#NAME?</v>
      </c>
      <c r="Q35" s="1" t="e" cm="1">
        <f t="array" aca="1" ref="Q35" ca="1">_xll.BDP("ZI885869 Corp","DS219")</f>
        <v>#NAME?</v>
      </c>
      <c r="R35" s="1" t="e" cm="1">
        <f t="array" aca="1" ref="R35" ca="1">_xll.BDP(A35,"DS040")</f>
        <v>#NAME?</v>
      </c>
      <c r="S35" s="4" t="e">
        <f t="shared" ca="1" si="0"/>
        <v>#NAME?</v>
      </c>
    </row>
    <row r="36" spans="1:19" x14ac:dyDescent="0.35">
      <c r="A36" s="5" t="s">
        <v>53</v>
      </c>
      <c r="B36" s="1" t="e" cm="1">
        <f t="array" aca="1" ref="B36" ca="1">_xll.BDP("ZS613802 Corp","DS520")</f>
        <v>#NAME?</v>
      </c>
      <c r="C36" s="1" t="e" cm="1">
        <f t="array" aca="1" ref="C36" ca="1">_xll.BDP("ZS613802 Corp","DS001")</f>
        <v>#NAME?</v>
      </c>
      <c r="D36" s="1" t="e" cm="1">
        <f t="array" aca="1" ref="D36" ca="1">_xll.BDP("ZS613802 Corp","DS458")</f>
        <v>#NAME?</v>
      </c>
      <c r="E36" s="1" t="e" cm="1">
        <f t="array" aca="1" ref="E36" ca="1">_xll.BDP("ZS613802 Corp","DS004")</f>
        <v>#NAME?</v>
      </c>
      <c r="F36" s="1" t="e" cm="1">
        <f t="array" aca="1" ref="F36" ca="1">_xll.BDP("ZS613802 Corp","DS035")</f>
        <v>#NAME?</v>
      </c>
      <c r="G36" t="e" cm="1">
        <f t="array" aca="1" ref="G36" ca="1">_xll.BDP(A36,"DS086")</f>
        <v>#NAME?</v>
      </c>
      <c r="H36" t="e" cm="1">
        <f t="array" aca="1" ref="H36" ca="1">_xll.BDP(A36,"DS034")</f>
        <v>#NAME?</v>
      </c>
      <c r="I36" s="1" t="e" cm="1">
        <f t="array" aca="1" ref="I36" ca="1">_xll.BDP("ZS613802 Corp","DS033")</f>
        <v>#NAME?</v>
      </c>
      <c r="J36" s="1" t="e" cm="1">
        <f t="array" aca="1" ref="J36" ca="1">_xll.BDP(A36,"YL018")</f>
        <v>#NAME?</v>
      </c>
      <c r="K36" s="1" t="e" cm="1">
        <f t="array" aca="1" ref="K36" ca="1">_xll.BDP("ZS613802 Corp","YL016")</f>
        <v>#NAME?</v>
      </c>
      <c r="L36" s="1" t="e" cm="1">
        <f t="array" aca="1" ref="L36" ca="1">_xll.BDP("ZS613802 Corp","PR004")</f>
        <v>#NAME?</v>
      </c>
      <c r="M36" s="1" t="e" cm="1">
        <f t="array" aca="1" ref="M36" ca="1">_xll.BDP(A36,"PR002")</f>
        <v>#NAME?</v>
      </c>
      <c r="N36" s="1" t="e" cm="1">
        <f t="array" aca="1" ref="N36" ca="1">_xll.BDP(A36,"ID028")</f>
        <v>#NAME?</v>
      </c>
      <c r="O36" s="1" t="e" cm="1">
        <f t="array" aca="1" ref="O36" ca="1">_xll.BDP("ZS613802 Corp","ID005")</f>
        <v>#NAME?</v>
      </c>
      <c r="P36" s="1" t="e" cm="1">
        <f t="array" aca="1" ref="P36" ca="1">_xll.BDP("ZS613802 Corp","RA007")</f>
        <v>#NAME?</v>
      </c>
      <c r="Q36" s="1" t="e" cm="1">
        <f t="array" aca="1" ref="Q36" ca="1">_xll.BDP("ZS613802 Corp","DS219")</f>
        <v>#NAME?</v>
      </c>
      <c r="R36" s="1" t="e" cm="1">
        <f t="array" aca="1" ref="R36" ca="1">_xll.BDP(A36,"DS040")</f>
        <v>#NAME?</v>
      </c>
      <c r="S36" s="4" t="e">
        <f t="shared" ca="1" si="0"/>
        <v>#NAME?</v>
      </c>
    </row>
    <row r="37" spans="1:19" x14ac:dyDescent="0.35">
      <c r="A37" s="5" t="s">
        <v>54</v>
      </c>
      <c r="B37" s="1" t="e" cm="1">
        <f t="array" aca="1" ref="B37" ca="1">_xll.BDP("BZ742454 Corp","DS520")</f>
        <v>#NAME?</v>
      </c>
      <c r="C37" s="1" t="e" cm="1">
        <f t="array" aca="1" ref="C37" ca="1">_xll.BDP("BZ742454 Corp","DS001")</f>
        <v>#NAME?</v>
      </c>
      <c r="D37" s="1" t="e" cm="1">
        <f t="array" aca="1" ref="D37" ca="1">_xll.BDP("BZ742454 Corp","DS458")</f>
        <v>#NAME?</v>
      </c>
      <c r="E37" s="1" t="e" cm="1">
        <f t="array" aca="1" ref="E37" ca="1">_xll.BDP("BZ742454 Corp","DS004")</f>
        <v>#NAME?</v>
      </c>
      <c r="F37" s="1" t="e" cm="1">
        <f t="array" aca="1" ref="F37" ca="1">_xll.BDP("BZ742454 Corp","DS035")</f>
        <v>#NAME?</v>
      </c>
      <c r="G37" t="e" cm="1">
        <f t="array" aca="1" ref="G37" ca="1">_xll.BDP(A37,"DS086")</f>
        <v>#NAME?</v>
      </c>
      <c r="H37" t="e" cm="1">
        <f t="array" aca="1" ref="H37" ca="1">_xll.BDP(A37,"DS034")</f>
        <v>#NAME?</v>
      </c>
      <c r="I37" s="1" t="e" cm="1">
        <f t="array" aca="1" ref="I37" ca="1">_xll.BDP("BZ742454 Corp","DS033")</f>
        <v>#NAME?</v>
      </c>
      <c r="J37" s="1" t="e" cm="1">
        <f t="array" aca="1" ref="J37" ca="1">_xll.BDP(A37,"YL018")</f>
        <v>#NAME?</v>
      </c>
      <c r="K37" s="1" t="e" cm="1">
        <f t="array" aca="1" ref="K37" ca="1">_xll.BDP("BZ742454 Corp","YL016")</f>
        <v>#NAME?</v>
      </c>
      <c r="L37" s="1" t="e" cm="1">
        <f t="array" aca="1" ref="L37" ca="1">_xll.BDP("BZ742454 Corp","PR004")</f>
        <v>#NAME?</v>
      </c>
      <c r="M37" s="1" t="e" cm="1">
        <f t="array" aca="1" ref="M37" ca="1">_xll.BDP(A37,"PR002")</f>
        <v>#NAME?</v>
      </c>
      <c r="N37" s="1" t="e" cm="1">
        <f t="array" aca="1" ref="N37" ca="1">_xll.BDP(A37,"ID028")</f>
        <v>#NAME?</v>
      </c>
      <c r="O37" s="1" t="e" cm="1">
        <f t="array" aca="1" ref="O37" ca="1">_xll.BDP("BZ742454 Corp","ID005")</f>
        <v>#NAME?</v>
      </c>
      <c r="P37" s="1" t="e" cm="1">
        <f t="array" aca="1" ref="P37" ca="1">_xll.BDP("BZ742454 Corp","RA007")</f>
        <v>#NAME?</v>
      </c>
      <c r="Q37" s="1" t="e" cm="1">
        <f t="array" aca="1" ref="Q37" ca="1">_xll.BDP("BZ742454 Corp","DS219")</f>
        <v>#NAME?</v>
      </c>
      <c r="R37" s="1" t="e" cm="1">
        <f t="array" aca="1" ref="R37" ca="1">_xll.BDP(A37,"DS040")</f>
        <v>#NAME?</v>
      </c>
      <c r="S37" s="4" t="e">
        <f t="shared" ca="1" si="0"/>
        <v>#NAME?</v>
      </c>
    </row>
    <row r="38" spans="1:19" x14ac:dyDescent="0.35">
      <c r="A38" s="5" t="s">
        <v>55</v>
      </c>
      <c r="B38" s="1" t="e" cm="1">
        <f t="array" aca="1" ref="B38" ca="1">_xll.BDP("YK172992 Corp","DS520")</f>
        <v>#NAME?</v>
      </c>
      <c r="C38" s="1" t="e" cm="1">
        <f t="array" aca="1" ref="C38" ca="1">_xll.BDP("YK172992 Corp","DS001")</f>
        <v>#NAME?</v>
      </c>
      <c r="D38" s="1" t="e" cm="1">
        <f t="array" aca="1" ref="D38" ca="1">_xll.BDP("YK172992 Corp","DS458")</f>
        <v>#NAME?</v>
      </c>
      <c r="E38" s="1" t="e" cm="1">
        <f t="array" aca="1" ref="E38" ca="1">_xll.BDP("YK172992 Corp","DS004")</f>
        <v>#NAME?</v>
      </c>
      <c r="F38" s="1" t="e" cm="1">
        <f t="array" aca="1" ref="F38" ca="1">_xll.BDP("YK172992 Corp","DS035")</f>
        <v>#NAME?</v>
      </c>
      <c r="G38" t="e" cm="1">
        <f t="array" aca="1" ref="G38" ca="1">_xll.BDP(A38,"DS086")</f>
        <v>#NAME?</v>
      </c>
      <c r="H38" t="e" cm="1">
        <f t="array" aca="1" ref="H38" ca="1">_xll.BDP(A38,"DS034")</f>
        <v>#NAME?</v>
      </c>
      <c r="I38" s="1" t="e" cm="1">
        <f t="array" aca="1" ref="I38" ca="1">_xll.BDP("YK172992 Corp","DS033")</f>
        <v>#NAME?</v>
      </c>
      <c r="J38" s="1" t="e" cm="1">
        <f t="array" aca="1" ref="J38" ca="1">_xll.BDP(A38,"YL018")</f>
        <v>#NAME?</v>
      </c>
      <c r="K38" s="1" t="e" cm="1">
        <f t="array" aca="1" ref="K38" ca="1">_xll.BDP("YK172992 Corp","YL016")</f>
        <v>#NAME?</v>
      </c>
      <c r="L38" s="1" t="e" cm="1">
        <f t="array" aca="1" ref="L38" ca="1">_xll.BDP("YK172992 Corp","PR004")</f>
        <v>#NAME?</v>
      </c>
      <c r="M38" s="1" t="e" cm="1">
        <f t="array" aca="1" ref="M38" ca="1">_xll.BDP(A38,"PR002")</f>
        <v>#NAME?</v>
      </c>
      <c r="N38" s="1" t="e" cm="1">
        <f t="array" aca="1" ref="N38" ca="1">_xll.BDP(A38,"ID028")</f>
        <v>#NAME?</v>
      </c>
      <c r="O38" s="1" t="e" cm="1">
        <f t="array" aca="1" ref="O38" ca="1">_xll.BDP("YK172992 Corp","ID005")</f>
        <v>#NAME?</v>
      </c>
      <c r="P38" s="1" t="e" cm="1">
        <f t="array" aca="1" ref="P38" ca="1">_xll.BDP("YK172992 Corp","RA007")</f>
        <v>#NAME?</v>
      </c>
      <c r="Q38" s="1" t="e" cm="1">
        <f t="array" aca="1" ref="Q38" ca="1">_xll.BDP("YK172992 Corp","DS219")</f>
        <v>#NAME?</v>
      </c>
      <c r="R38" s="1" t="e" cm="1">
        <f t="array" aca="1" ref="R38" ca="1">_xll.BDP(A38,"DS040")</f>
        <v>#NAME?</v>
      </c>
      <c r="S38" s="4" t="e">
        <f t="shared" ca="1" si="0"/>
        <v>#NAME?</v>
      </c>
    </row>
    <row r="39" spans="1:19" ht="15.75" x14ac:dyDescent="0.35">
      <c r="A39" s="6"/>
      <c r="B39" s="1"/>
      <c r="C39" s="1"/>
      <c r="D39" s="1"/>
      <c r="E39" s="1"/>
      <c r="F39" s="1"/>
      <c r="I39" s="1"/>
      <c r="K39" s="1"/>
      <c r="L39" s="1"/>
      <c r="O39" s="1"/>
      <c r="P39" s="1"/>
      <c r="Q39" s="1"/>
      <c r="R39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77A88-F5F8-4918-939B-5393247DC285}">
  <dimension ref="A1:Z38"/>
  <sheetViews>
    <sheetView topLeftCell="J1" zoomScale="79" workbookViewId="0">
      <selection activeCell="V1" sqref="V1"/>
    </sheetView>
  </sheetViews>
  <sheetFormatPr defaultColWidth="9" defaultRowHeight="12.75" x14ac:dyDescent="0.35"/>
  <cols>
    <col min="1" max="1" width="22.1328125" style="53" bestFit="1" customWidth="1"/>
    <col min="2" max="2" width="8.3984375" style="53" bestFit="1" customWidth="1"/>
    <col min="3" max="3" width="13.86328125" style="53" bestFit="1" customWidth="1"/>
    <col min="4" max="4" width="8.3984375" style="53" bestFit="1" customWidth="1"/>
    <col min="5" max="5" width="7.265625" style="53" bestFit="1" customWidth="1"/>
    <col min="6" max="6" width="10.1328125" style="53" bestFit="1" customWidth="1"/>
    <col min="7" max="7" width="6.265625" style="53" bestFit="1" customWidth="1"/>
    <col min="8" max="8" width="14.86328125" style="53" customWidth="1"/>
    <col min="9" max="9" width="13.1328125" style="53" bestFit="1" customWidth="1"/>
    <col min="10" max="10" width="10.1328125" style="53" bestFit="1" customWidth="1"/>
    <col min="11" max="11" width="9" style="53"/>
    <col min="12" max="12" width="14.3984375" style="53" bestFit="1" customWidth="1"/>
    <col min="13" max="13" width="18.1328125" style="53" bestFit="1" customWidth="1"/>
    <col min="14" max="17" width="9" style="53"/>
    <col min="18" max="18" width="9" style="53" bestFit="1" customWidth="1"/>
    <col min="19" max="21" width="9" style="53"/>
    <col min="22" max="22" width="11.3984375" style="53" bestFit="1" customWidth="1"/>
    <col min="23" max="23" width="9" style="53"/>
    <col min="24" max="24" width="9.86328125" style="53" bestFit="1" customWidth="1"/>
    <col min="25" max="16384" width="9" style="53"/>
  </cols>
  <sheetData>
    <row r="1" spans="1:26" x14ac:dyDescent="0.35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53" t="s">
        <v>5</v>
      </c>
      <c r="G1" s="53" t="s">
        <v>6</v>
      </c>
      <c r="H1" s="53" t="s">
        <v>7</v>
      </c>
      <c r="I1" s="53" t="s">
        <v>8</v>
      </c>
      <c r="J1" s="53" t="s">
        <v>9</v>
      </c>
      <c r="K1" s="53" t="s">
        <v>10</v>
      </c>
      <c r="L1" s="53" t="s">
        <v>11</v>
      </c>
      <c r="M1" s="53" t="s">
        <v>12</v>
      </c>
      <c r="N1" s="54" t="s">
        <v>13</v>
      </c>
      <c r="O1" s="53" t="s">
        <v>14</v>
      </c>
      <c r="P1" s="53" t="s">
        <v>15</v>
      </c>
      <c r="Q1" s="53" t="s">
        <v>16</v>
      </c>
      <c r="R1" s="53" t="s">
        <v>17</v>
      </c>
      <c r="S1" s="53" t="s">
        <v>18</v>
      </c>
      <c r="T1" s="53" t="s">
        <v>56</v>
      </c>
      <c r="U1" s="53" t="s">
        <v>57</v>
      </c>
      <c r="V1" s="3" t="s">
        <v>58</v>
      </c>
      <c r="W1" s="3" t="s">
        <v>59</v>
      </c>
      <c r="X1" s="3" t="s">
        <v>60</v>
      </c>
      <c r="Y1" s="3" t="s">
        <v>61</v>
      </c>
      <c r="Z1" s="3" t="s">
        <v>62</v>
      </c>
    </row>
    <row r="2" spans="1:26" x14ac:dyDescent="0.35">
      <c r="A2" s="53" t="s">
        <v>19</v>
      </c>
      <c r="B2" s="53" t="s">
        <v>63</v>
      </c>
      <c r="C2" s="53" t="s">
        <v>64</v>
      </c>
      <c r="D2" s="53" t="s">
        <v>65</v>
      </c>
      <c r="E2" s="53" t="s">
        <v>66</v>
      </c>
      <c r="F2" s="53" t="s">
        <v>67</v>
      </c>
      <c r="G2" s="53" t="s">
        <v>68</v>
      </c>
      <c r="H2" s="53">
        <v>2</v>
      </c>
      <c r="I2" s="53">
        <v>1.7929999999999999</v>
      </c>
      <c r="J2" s="53">
        <v>2.5070000000000001</v>
      </c>
      <c r="K2" s="53">
        <v>2.5070000000000001</v>
      </c>
      <c r="L2" s="53">
        <v>94.531000000000006</v>
      </c>
      <c r="M2" s="53">
        <v>94.531000000000006</v>
      </c>
      <c r="N2" s="54" t="s">
        <v>69</v>
      </c>
      <c r="O2" s="53" t="s">
        <v>70</v>
      </c>
      <c r="P2" s="53" t="s">
        <v>71</v>
      </c>
      <c r="Q2" s="53" t="s">
        <v>72</v>
      </c>
      <c r="R2" s="53" t="s">
        <v>73</v>
      </c>
      <c r="S2" s="54">
        <f t="shared" ref="S2:S38" ca="1" si="0">(F2-TODAY())/365.25</f>
        <v>9.4318959616700884</v>
      </c>
      <c r="T2" s="53">
        <f t="shared" ref="T2" si="1">+AVERAGE(L2:M2)</f>
        <v>94.531000000000006</v>
      </c>
      <c r="U2" s="53" cm="1">
        <f t="array" ref="U2:U38">_xlfn.SEQUENCE(COUNT(H:H))</f>
        <v>1</v>
      </c>
      <c r="V2" s="4">
        <f ca="1">ROUNDDOWN(S2,0)+IF(S2-ROUNDDOWN(S2,0)&gt;0.5,0.5,0)</f>
        <v>9</v>
      </c>
      <c r="W2" s="51">
        <f ca="1">YEAR(TODAY())-YEAR(Q2)</f>
        <v>1</v>
      </c>
      <c r="X2" s="4">
        <f ca="1">(TODAY()-DATE(YEAR(R2),MONTH(R2)-6,DAY(R2)))/182*(I2)</f>
        <v>0.25614285714285712</v>
      </c>
      <c r="Y2" s="4">
        <f ca="1">T2-X2</f>
        <v>94.274857142857144</v>
      </c>
      <c r="Z2">
        <f>AVERAGE(J2:K2)</f>
        <v>2.5070000000000001</v>
      </c>
    </row>
    <row r="3" spans="1:26" x14ac:dyDescent="0.35">
      <c r="A3" s="53" t="s">
        <v>20</v>
      </c>
      <c r="B3" s="53" t="s">
        <v>74</v>
      </c>
      <c r="C3" s="53" t="s">
        <v>64</v>
      </c>
      <c r="D3" s="53" t="s">
        <v>65</v>
      </c>
      <c r="E3" s="53" t="s">
        <v>66</v>
      </c>
      <c r="F3" s="53" t="s">
        <v>75</v>
      </c>
      <c r="G3" s="53" t="s">
        <v>68</v>
      </c>
      <c r="H3" s="53">
        <v>2</v>
      </c>
      <c r="I3" s="53">
        <v>0.37</v>
      </c>
      <c r="J3" s="53">
        <v>1.163</v>
      </c>
      <c r="K3" s="53">
        <v>1.163</v>
      </c>
      <c r="L3" s="53">
        <v>99.537999999999997</v>
      </c>
      <c r="M3" s="53">
        <v>99.537999999999997</v>
      </c>
      <c r="N3" s="54" t="s">
        <v>76</v>
      </c>
      <c r="O3" s="53" t="s">
        <v>77</v>
      </c>
      <c r="P3" s="53" t="s">
        <v>71</v>
      </c>
      <c r="Q3" s="53" t="s">
        <v>78</v>
      </c>
      <c r="R3" s="53" t="s">
        <v>79</v>
      </c>
      <c r="S3" s="54">
        <f t="shared" ca="1" si="0"/>
        <v>0.53935660506502392</v>
      </c>
      <c r="T3" s="53">
        <f t="shared" ref="T3:T38" si="2">+AVERAGE(L3:M3)</f>
        <v>99.537999999999997</v>
      </c>
      <c r="U3" s="53">
        <v>2</v>
      </c>
      <c r="V3" s="4">
        <f ca="1">ROUNDDOWN(S3,0)+IF(S3-ROUNDDOWN(S3,0)&gt;0.5,0.5,0)</f>
        <v>0.5</v>
      </c>
      <c r="W3" s="51">
        <f ca="1">YEAR(TODAY())-YEAR(Q3)</f>
        <v>3</v>
      </c>
      <c r="X3" s="4">
        <f ca="1">(TODAY()-DATE(YEAR(R3),MONTH(R3)-6,DAY(R3)))/182*(I3)</f>
        <v>0.34153846153846157</v>
      </c>
      <c r="Y3" s="4">
        <f ca="1">T3-X3</f>
        <v>99.196461538461534</v>
      </c>
      <c r="Z3">
        <f>AVERAGE(J3:K3)</f>
        <v>1.163</v>
      </c>
    </row>
    <row r="4" spans="1:26" x14ac:dyDescent="0.35">
      <c r="A4" s="53" t="s">
        <v>21</v>
      </c>
      <c r="B4" s="53" t="s">
        <v>63</v>
      </c>
      <c r="C4" s="53" t="s">
        <v>64</v>
      </c>
      <c r="D4" s="53" t="s">
        <v>65</v>
      </c>
      <c r="E4" s="53" t="s">
        <v>66</v>
      </c>
      <c r="F4" s="53" t="s">
        <v>80</v>
      </c>
      <c r="G4" s="53" t="s">
        <v>68</v>
      </c>
      <c r="H4" s="53">
        <v>2</v>
      </c>
      <c r="I4" s="53">
        <v>0.09</v>
      </c>
      <c r="J4" s="53">
        <v>0.86399999999999999</v>
      </c>
      <c r="K4" s="53">
        <v>1.1339999999999999</v>
      </c>
      <c r="L4" s="53">
        <v>99.825999999999993</v>
      </c>
      <c r="M4" s="53">
        <v>99.766000000000005</v>
      </c>
      <c r="N4" s="54" t="s">
        <v>81</v>
      </c>
      <c r="O4" s="53" t="s">
        <v>82</v>
      </c>
      <c r="P4" s="53" t="s">
        <v>71</v>
      </c>
      <c r="Q4" s="53" t="s">
        <v>83</v>
      </c>
      <c r="R4" s="53" t="s">
        <v>80</v>
      </c>
      <c r="S4" s="54">
        <f t="shared" ca="1" si="0"/>
        <v>0.17796030116358658</v>
      </c>
      <c r="T4" s="53">
        <f t="shared" si="2"/>
        <v>99.795999999999992</v>
      </c>
      <c r="U4" s="53">
        <v>3</v>
      </c>
      <c r="V4" s="4">
        <f t="shared" ref="V4:V38" ca="1" si="3">ROUNDDOWN(S4,0)+IF(S4-ROUNDDOWN(S4,0)&gt;0.5,0.5,0)</f>
        <v>0</v>
      </c>
      <c r="W4" s="51">
        <f t="shared" ref="W4:W38" ca="1" si="4">YEAR(TODAY())-YEAR(Q4)</f>
        <v>10</v>
      </c>
      <c r="X4" s="4">
        <f t="shared" ref="X4:X38" ca="1" si="5">(TODAY()-DATE(YEAR(R4),MONTH(R4)-6,DAY(R4)))/182*(I4)</f>
        <v>5.7857142857142857E-2</v>
      </c>
      <c r="Y4" s="4">
        <f t="shared" ref="Y4:Y38" ca="1" si="6">T4-X4</f>
        <v>99.738142857142847</v>
      </c>
      <c r="Z4">
        <f t="shared" ref="Z4:Z38" si="7">AVERAGE(J4:K4)</f>
        <v>0.99899999999999989</v>
      </c>
    </row>
    <row r="5" spans="1:26" x14ac:dyDescent="0.35">
      <c r="A5" s="53" t="s">
        <v>22</v>
      </c>
      <c r="B5" s="53" t="s">
        <v>63</v>
      </c>
      <c r="C5" s="53" t="s">
        <v>64</v>
      </c>
      <c r="D5" s="53" t="s">
        <v>65</v>
      </c>
      <c r="E5" s="53" t="s">
        <v>66</v>
      </c>
      <c r="F5" s="53" t="s">
        <v>84</v>
      </c>
      <c r="G5" s="53" t="s">
        <v>68</v>
      </c>
      <c r="H5" s="53">
        <v>2</v>
      </c>
      <c r="I5" s="53">
        <v>0.65100000000000002</v>
      </c>
      <c r="J5" s="53">
        <v>2.9619999999999997</v>
      </c>
      <c r="K5" s="53">
        <v>2.9619999999999997</v>
      </c>
      <c r="L5" s="53">
        <v>80.534999999999997</v>
      </c>
      <c r="M5" s="53">
        <v>80.534999999999997</v>
      </c>
      <c r="N5" s="54" t="s">
        <v>85</v>
      </c>
      <c r="O5" s="53" t="s">
        <v>86</v>
      </c>
      <c r="P5" s="53" t="s">
        <v>71</v>
      </c>
      <c r="Q5" s="53" t="s">
        <v>87</v>
      </c>
      <c r="R5" s="53" t="s">
        <v>88</v>
      </c>
      <c r="S5" s="54">
        <f t="shared" ca="1" si="0"/>
        <v>11.175906913073238</v>
      </c>
      <c r="T5" s="53">
        <f t="shared" si="2"/>
        <v>80.534999999999997</v>
      </c>
      <c r="U5" s="53">
        <v>4</v>
      </c>
      <c r="V5" s="4">
        <f t="shared" ca="1" si="3"/>
        <v>11</v>
      </c>
      <c r="W5" s="51">
        <f t="shared" ca="1" si="4"/>
        <v>9</v>
      </c>
      <c r="X5" s="4">
        <f t="shared" ca="1" si="5"/>
        <v>0.42207692307692313</v>
      </c>
      <c r="Y5" s="4">
        <f t="shared" ca="1" si="6"/>
        <v>80.112923076923067</v>
      </c>
      <c r="Z5">
        <f t="shared" si="7"/>
        <v>2.9619999999999997</v>
      </c>
    </row>
    <row r="6" spans="1:26" x14ac:dyDescent="0.35">
      <c r="A6" s="53" t="s">
        <v>23</v>
      </c>
      <c r="B6" s="53" t="s">
        <v>63</v>
      </c>
      <c r="C6" s="53" t="s">
        <v>64</v>
      </c>
      <c r="D6" s="53" t="s">
        <v>65</v>
      </c>
      <c r="E6" s="53" t="s">
        <v>66</v>
      </c>
      <c r="F6" s="53" t="s">
        <v>89</v>
      </c>
      <c r="G6" s="53" t="s">
        <v>68</v>
      </c>
      <c r="H6" s="53">
        <v>2</v>
      </c>
      <c r="I6" s="53">
        <v>0.219</v>
      </c>
      <c r="J6" s="53">
        <v>1.982</v>
      </c>
      <c r="K6" s="53">
        <v>1.982</v>
      </c>
      <c r="L6" s="53">
        <v>91.959000000000003</v>
      </c>
      <c r="M6" s="53">
        <v>91.959000000000003</v>
      </c>
      <c r="N6" s="54" t="s">
        <v>90</v>
      </c>
      <c r="O6" s="53" t="s">
        <v>91</v>
      </c>
      <c r="P6" s="53" t="s">
        <v>71</v>
      </c>
      <c r="Q6" s="53" t="s">
        <v>92</v>
      </c>
      <c r="R6" s="53" t="s">
        <v>93</v>
      </c>
      <c r="S6" s="54">
        <f t="shared" ca="1" si="0"/>
        <v>4.9664613278576315</v>
      </c>
      <c r="T6" s="53">
        <f t="shared" si="2"/>
        <v>91.959000000000003</v>
      </c>
      <c r="U6" s="53">
        <v>5</v>
      </c>
      <c r="V6" s="4">
        <f t="shared" ca="1" si="3"/>
        <v>4.5</v>
      </c>
      <c r="W6" s="51">
        <f t="shared" ca="1" si="4"/>
        <v>5</v>
      </c>
      <c r="X6" s="4">
        <f t="shared" ca="1" si="5"/>
        <v>0.23223626373626374</v>
      </c>
      <c r="Y6" s="4">
        <f t="shared" ca="1" si="6"/>
        <v>91.726763736263734</v>
      </c>
      <c r="Z6">
        <f t="shared" si="7"/>
        <v>1.982</v>
      </c>
    </row>
    <row r="7" spans="1:26" x14ac:dyDescent="0.35">
      <c r="A7" s="53" t="s">
        <v>24</v>
      </c>
      <c r="B7" s="53" t="s">
        <v>63</v>
      </c>
      <c r="C7" s="53" t="s">
        <v>64</v>
      </c>
      <c r="D7" s="53" t="s">
        <v>65</v>
      </c>
      <c r="E7" s="53" t="s">
        <v>66</v>
      </c>
      <c r="F7" s="53" t="s">
        <v>94</v>
      </c>
      <c r="G7" s="53" t="s">
        <v>68</v>
      </c>
      <c r="H7" s="53">
        <v>2</v>
      </c>
      <c r="I7" s="53">
        <v>0.1</v>
      </c>
      <c r="J7" s="53">
        <v>1.173</v>
      </c>
      <c r="K7" s="53">
        <v>1.1759999999999999</v>
      </c>
      <c r="L7" s="53">
        <v>99.957999999999998</v>
      </c>
      <c r="M7" s="53">
        <v>99.957999999999998</v>
      </c>
      <c r="N7" s="54" t="s">
        <v>95</v>
      </c>
      <c r="O7" s="53" t="s">
        <v>96</v>
      </c>
      <c r="P7" s="53" t="s">
        <v>97</v>
      </c>
      <c r="Q7" s="53" t="s">
        <v>92</v>
      </c>
      <c r="R7" s="53" t="s">
        <v>94</v>
      </c>
      <c r="S7" s="54">
        <f t="shared" ca="1" si="0"/>
        <v>-8.2135523613963042E-3</v>
      </c>
      <c r="T7" s="53">
        <f t="shared" si="2"/>
        <v>99.957999999999998</v>
      </c>
      <c r="U7" s="53">
        <v>6</v>
      </c>
      <c r="V7" s="4">
        <f t="shared" ca="1" si="3"/>
        <v>0</v>
      </c>
      <c r="W7" s="51">
        <f t="shared" ca="1" si="4"/>
        <v>5</v>
      </c>
      <c r="X7" s="4">
        <f t="shared" ca="1" si="5"/>
        <v>0.1010989010989011</v>
      </c>
      <c r="Y7" s="4">
        <f t="shared" ca="1" si="6"/>
        <v>99.856901098901091</v>
      </c>
      <c r="Z7">
        <f t="shared" si="7"/>
        <v>1.1745000000000001</v>
      </c>
    </row>
    <row r="8" spans="1:26" x14ac:dyDescent="0.35">
      <c r="A8" s="53" t="s">
        <v>25</v>
      </c>
      <c r="B8" s="53" t="s">
        <v>63</v>
      </c>
      <c r="C8" s="53" t="s">
        <v>64</v>
      </c>
      <c r="D8" s="53" t="s">
        <v>65</v>
      </c>
      <c r="E8" s="53" t="s">
        <v>66</v>
      </c>
      <c r="F8" s="53" t="s">
        <v>93</v>
      </c>
      <c r="G8" s="53" t="s">
        <v>68</v>
      </c>
      <c r="H8" s="53">
        <v>2</v>
      </c>
      <c r="I8" s="53">
        <v>0.05</v>
      </c>
      <c r="J8" s="53">
        <v>1.4769999999999999</v>
      </c>
      <c r="K8" s="53">
        <v>1.4830000000000001</v>
      </c>
      <c r="L8" s="53">
        <v>99.98</v>
      </c>
      <c r="M8" s="53">
        <v>99.98</v>
      </c>
      <c r="N8" s="54" t="s">
        <v>98</v>
      </c>
      <c r="O8" s="53" t="s">
        <v>99</v>
      </c>
      <c r="P8" s="53" t="s">
        <v>71</v>
      </c>
      <c r="Q8" s="53" t="s">
        <v>92</v>
      </c>
      <c r="R8" s="53" t="s">
        <v>93</v>
      </c>
      <c r="S8" s="54">
        <f t="shared" ca="1" si="0"/>
        <v>-3.2854209445585217E-2</v>
      </c>
      <c r="T8" s="53">
        <f t="shared" si="2"/>
        <v>99.98</v>
      </c>
      <c r="U8" s="53">
        <v>7</v>
      </c>
      <c r="V8" s="4">
        <f t="shared" ca="1" si="3"/>
        <v>0</v>
      </c>
      <c r="W8" s="51">
        <f t="shared" ca="1" si="4"/>
        <v>5</v>
      </c>
      <c r="X8" s="4">
        <f t="shared" ca="1" si="5"/>
        <v>5.3021978021978028E-2</v>
      </c>
      <c r="Y8" s="4">
        <f t="shared" ca="1" si="6"/>
        <v>99.92697802197803</v>
      </c>
      <c r="Z8">
        <f t="shared" si="7"/>
        <v>1.48</v>
      </c>
    </row>
    <row r="9" spans="1:26" x14ac:dyDescent="0.35">
      <c r="A9" s="53" t="s">
        <v>26</v>
      </c>
      <c r="B9" s="53" t="s">
        <v>74</v>
      </c>
      <c r="C9" s="53" t="s">
        <v>64</v>
      </c>
      <c r="D9" s="53" t="s">
        <v>65</v>
      </c>
      <c r="E9" s="53" t="s">
        <v>66</v>
      </c>
      <c r="F9" s="53" t="s">
        <v>100</v>
      </c>
      <c r="G9" s="53" t="s">
        <v>68</v>
      </c>
      <c r="H9" s="53">
        <v>2</v>
      </c>
      <c r="I9" s="53">
        <v>1.35</v>
      </c>
      <c r="J9" s="53">
        <v>1.407</v>
      </c>
      <c r="K9" s="53">
        <v>1.607</v>
      </c>
      <c r="L9" s="53">
        <v>99.849000000000004</v>
      </c>
      <c r="M9" s="53">
        <v>99.328000000000003</v>
      </c>
      <c r="N9" s="54" t="s">
        <v>101</v>
      </c>
      <c r="O9" s="53" t="s">
        <v>102</v>
      </c>
      <c r="P9" s="53" t="s">
        <v>97</v>
      </c>
      <c r="Q9" s="53" t="s">
        <v>103</v>
      </c>
      <c r="R9" s="53" t="s">
        <v>80</v>
      </c>
      <c r="S9" s="54">
        <f t="shared" ca="1" si="0"/>
        <v>2.6748802190280632</v>
      </c>
      <c r="T9" s="53">
        <f t="shared" si="2"/>
        <v>99.58850000000001</v>
      </c>
      <c r="U9" s="53">
        <v>8</v>
      </c>
      <c r="V9" s="4">
        <f t="shared" ca="1" si="3"/>
        <v>2.5</v>
      </c>
      <c r="W9" s="51">
        <f t="shared" ca="1" si="4"/>
        <v>1</v>
      </c>
      <c r="X9" s="4">
        <f t="shared" ca="1" si="5"/>
        <v>0.86785714285714299</v>
      </c>
      <c r="Y9" s="4">
        <f t="shared" ca="1" si="6"/>
        <v>98.720642857142863</v>
      </c>
      <c r="Z9">
        <f t="shared" si="7"/>
        <v>1.5070000000000001</v>
      </c>
    </row>
    <row r="10" spans="1:26" x14ac:dyDescent="0.35">
      <c r="A10" s="53" t="s">
        <v>27</v>
      </c>
      <c r="B10" s="53" t="s">
        <v>63</v>
      </c>
      <c r="C10" s="53" t="s">
        <v>64</v>
      </c>
      <c r="D10" s="53" t="s">
        <v>65</v>
      </c>
      <c r="E10" s="53" t="s">
        <v>66</v>
      </c>
      <c r="F10" s="53" t="s">
        <v>104</v>
      </c>
      <c r="G10" s="53" t="s">
        <v>68</v>
      </c>
      <c r="H10" s="53">
        <v>2</v>
      </c>
      <c r="I10" s="53">
        <v>1.296</v>
      </c>
      <c r="J10" s="53">
        <v>1.8380000000000001</v>
      </c>
      <c r="K10" s="53">
        <v>1.8380000000000001</v>
      </c>
      <c r="L10" s="53">
        <v>97.756</v>
      </c>
      <c r="M10" s="53">
        <v>97.756</v>
      </c>
      <c r="N10" s="54" t="s">
        <v>105</v>
      </c>
      <c r="O10" s="53" t="s">
        <v>106</v>
      </c>
      <c r="P10" s="53" t="s">
        <v>71</v>
      </c>
      <c r="Q10" s="53" t="s">
        <v>72</v>
      </c>
      <c r="R10" s="53" t="s">
        <v>73</v>
      </c>
      <c r="S10" s="54">
        <f t="shared" ca="1" si="0"/>
        <v>4.4325804243668721</v>
      </c>
      <c r="T10" s="53">
        <f t="shared" si="2"/>
        <v>97.756</v>
      </c>
      <c r="U10" s="53">
        <v>9</v>
      </c>
      <c r="V10" s="4">
        <f t="shared" ca="1" si="3"/>
        <v>4</v>
      </c>
      <c r="W10" s="51">
        <f t="shared" ca="1" si="4"/>
        <v>1</v>
      </c>
      <c r="X10" s="4">
        <f t="shared" ca="1" si="5"/>
        <v>0.18514285714285714</v>
      </c>
      <c r="Y10" s="4">
        <f t="shared" ca="1" si="6"/>
        <v>97.570857142857136</v>
      </c>
      <c r="Z10">
        <f t="shared" si="7"/>
        <v>1.8380000000000001</v>
      </c>
    </row>
    <row r="11" spans="1:26" x14ac:dyDescent="0.35">
      <c r="A11" s="53" t="s">
        <v>28</v>
      </c>
      <c r="B11" s="53" t="s">
        <v>74</v>
      </c>
      <c r="C11" s="53" t="s">
        <v>64</v>
      </c>
      <c r="D11" s="53" t="s">
        <v>65</v>
      </c>
      <c r="E11" s="53" t="s">
        <v>66</v>
      </c>
      <c r="F11" s="53" t="s">
        <v>107</v>
      </c>
      <c r="G11" s="53" t="s">
        <v>68</v>
      </c>
      <c r="H11" s="53">
        <v>2</v>
      </c>
      <c r="I11" s="53">
        <v>1.4930000000000001</v>
      </c>
      <c r="J11" s="53">
        <v>1.8879999999999999</v>
      </c>
      <c r="K11" s="53">
        <v>1.8879999999999999</v>
      </c>
      <c r="L11" s="53">
        <v>98.328999999999994</v>
      </c>
      <c r="M11" s="53">
        <v>98.328999999999994</v>
      </c>
      <c r="N11" s="54" t="s">
        <v>108</v>
      </c>
      <c r="O11" s="53" t="s">
        <v>109</v>
      </c>
      <c r="P11" s="53" t="s">
        <v>71</v>
      </c>
      <c r="Q11" s="53" t="s">
        <v>110</v>
      </c>
      <c r="R11" s="53" t="s">
        <v>111</v>
      </c>
      <c r="S11" s="54">
        <f t="shared" ca="1" si="0"/>
        <v>4.5503080082135527</v>
      </c>
      <c r="T11" s="53">
        <f t="shared" si="2"/>
        <v>98.328999999999994</v>
      </c>
      <c r="U11" s="53">
        <v>10</v>
      </c>
      <c r="V11" s="4">
        <f t="shared" ca="1" si="3"/>
        <v>4.5</v>
      </c>
      <c r="W11" s="51">
        <f t="shared" ca="1" si="4"/>
        <v>1</v>
      </c>
      <c r="X11" s="4">
        <f t="shared" ca="1" si="5"/>
        <v>1.3453406593406594</v>
      </c>
      <c r="Y11" s="4">
        <f t="shared" ca="1" si="6"/>
        <v>96.983659340659329</v>
      </c>
      <c r="Z11">
        <f t="shared" si="7"/>
        <v>1.8879999999999999</v>
      </c>
    </row>
    <row r="12" spans="1:26" x14ac:dyDescent="0.35">
      <c r="A12" s="53" t="s">
        <v>29</v>
      </c>
      <c r="B12" s="53" t="s">
        <v>74</v>
      </c>
      <c r="C12" s="53" t="s">
        <v>64</v>
      </c>
      <c r="D12" s="53" t="s">
        <v>65</v>
      </c>
      <c r="E12" s="53" t="s">
        <v>66</v>
      </c>
      <c r="F12" s="53" t="s">
        <v>112</v>
      </c>
      <c r="G12" s="53" t="s">
        <v>68</v>
      </c>
      <c r="H12" s="53">
        <v>2</v>
      </c>
      <c r="I12" s="53">
        <v>0.96599999999999997</v>
      </c>
      <c r="J12" s="53">
        <v>1.34</v>
      </c>
      <c r="K12" s="53">
        <v>1.3540000000000001</v>
      </c>
      <c r="L12" s="53">
        <v>99.5</v>
      </c>
      <c r="M12" s="53">
        <v>99.481999999999999</v>
      </c>
      <c r="N12" s="54" t="s">
        <v>113</v>
      </c>
      <c r="O12" s="53" t="s">
        <v>114</v>
      </c>
      <c r="P12" s="53" t="s">
        <v>71</v>
      </c>
      <c r="Q12" s="53" t="s">
        <v>115</v>
      </c>
      <c r="R12" s="53" t="s">
        <v>116</v>
      </c>
      <c r="S12" s="54">
        <f t="shared" ca="1" si="0"/>
        <v>1.3114305270362765</v>
      </c>
      <c r="T12" s="53">
        <f t="shared" si="2"/>
        <v>99.491</v>
      </c>
      <c r="U12" s="53">
        <v>11</v>
      </c>
      <c r="V12" s="4">
        <f t="shared" ca="1" si="3"/>
        <v>1</v>
      </c>
      <c r="W12" s="51">
        <f t="shared" ca="1" si="4"/>
        <v>1</v>
      </c>
      <c r="X12" s="4">
        <f t="shared" ca="1" si="5"/>
        <v>0.35561538461538461</v>
      </c>
      <c r="Y12" s="4">
        <f t="shared" ca="1" si="6"/>
        <v>99.135384615384609</v>
      </c>
      <c r="Z12">
        <f t="shared" si="7"/>
        <v>1.347</v>
      </c>
    </row>
    <row r="13" spans="1:26" x14ac:dyDescent="0.35">
      <c r="A13" s="53" t="s">
        <v>30</v>
      </c>
      <c r="B13" s="53" t="s">
        <v>74</v>
      </c>
      <c r="C13" s="53" t="s">
        <v>64</v>
      </c>
      <c r="D13" s="53" t="s">
        <v>65</v>
      </c>
      <c r="E13" s="53" t="s">
        <v>66</v>
      </c>
      <c r="F13" s="53" t="s">
        <v>117</v>
      </c>
      <c r="G13" s="53" t="s">
        <v>68</v>
      </c>
      <c r="H13" s="53">
        <v>2</v>
      </c>
      <c r="I13" s="53">
        <v>1.0820000000000001</v>
      </c>
      <c r="J13" s="53">
        <v>1.468</v>
      </c>
      <c r="K13" s="53">
        <v>1.5209999999999999</v>
      </c>
      <c r="L13" s="53">
        <v>99.12</v>
      </c>
      <c r="M13" s="53">
        <v>98.998999999999995</v>
      </c>
      <c r="N13" s="54" t="s">
        <v>118</v>
      </c>
      <c r="O13" s="53" t="s">
        <v>119</v>
      </c>
      <c r="P13" s="53" t="s">
        <v>71</v>
      </c>
      <c r="Q13" s="53" t="s">
        <v>115</v>
      </c>
      <c r="R13" s="53" t="s">
        <v>116</v>
      </c>
      <c r="S13" s="54">
        <f t="shared" ca="1" si="0"/>
        <v>2.3107460643394937</v>
      </c>
      <c r="T13" s="53">
        <f t="shared" si="2"/>
        <v>99.0595</v>
      </c>
      <c r="U13" s="53">
        <v>12</v>
      </c>
      <c r="V13" s="4">
        <f t="shared" ca="1" si="3"/>
        <v>2</v>
      </c>
      <c r="W13" s="51">
        <f t="shared" ca="1" si="4"/>
        <v>1</v>
      </c>
      <c r="X13" s="4">
        <f t="shared" ca="1" si="5"/>
        <v>0.39831868131868137</v>
      </c>
      <c r="Y13" s="4">
        <f t="shared" ca="1" si="6"/>
        <v>98.661181318681315</v>
      </c>
      <c r="Z13">
        <f t="shared" si="7"/>
        <v>1.4944999999999999</v>
      </c>
    </row>
    <row r="14" spans="1:26" x14ac:dyDescent="0.35">
      <c r="A14" s="53" t="s">
        <v>31</v>
      </c>
      <c r="B14" s="53" t="s">
        <v>74</v>
      </c>
      <c r="C14" s="53" t="s">
        <v>64</v>
      </c>
      <c r="D14" s="53" t="s">
        <v>65</v>
      </c>
      <c r="E14" s="53" t="s">
        <v>66</v>
      </c>
      <c r="F14" s="53" t="s">
        <v>120</v>
      </c>
      <c r="G14" s="53" t="s">
        <v>68</v>
      </c>
      <c r="H14" s="53">
        <v>2</v>
      </c>
      <c r="I14" s="53">
        <v>1.3260000000000001</v>
      </c>
      <c r="J14" s="53">
        <v>1.821</v>
      </c>
      <c r="K14" s="53">
        <v>1.85</v>
      </c>
      <c r="L14" s="53">
        <v>98.001000000000005</v>
      </c>
      <c r="M14" s="53">
        <v>97.885999999999996</v>
      </c>
      <c r="N14" s="54" t="s">
        <v>121</v>
      </c>
      <c r="O14" s="53" t="s">
        <v>122</v>
      </c>
      <c r="P14" s="53" t="s">
        <v>71</v>
      </c>
      <c r="Q14" s="53" t="s">
        <v>115</v>
      </c>
      <c r="R14" s="53" t="s">
        <v>116</v>
      </c>
      <c r="S14" s="54">
        <f t="shared" ca="1" si="0"/>
        <v>4.3121149897330593</v>
      </c>
      <c r="T14" s="53">
        <f t="shared" si="2"/>
        <v>97.9435</v>
      </c>
      <c r="U14" s="53">
        <v>13</v>
      </c>
      <c r="V14" s="4">
        <f t="shared" ca="1" si="3"/>
        <v>4</v>
      </c>
      <c r="W14" s="51">
        <f t="shared" ca="1" si="4"/>
        <v>1</v>
      </c>
      <c r="X14" s="4">
        <f t="shared" ca="1" si="5"/>
        <v>0.48814285714285721</v>
      </c>
      <c r="Y14" s="4">
        <f t="shared" ca="1" si="6"/>
        <v>97.455357142857139</v>
      </c>
      <c r="Z14">
        <f t="shared" si="7"/>
        <v>1.8355000000000001</v>
      </c>
    </row>
    <row r="15" spans="1:26" x14ac:dyDescent="0.35">
      <c r="A15" s="53" t="s">
        <v>32</v>
      </c>
      <c r="B15" s="53" t="s">
        <v>74</v>
      </c>
      <c r="C15" s="53" t="s">
        <v>64</v>
      </c>
      <c r="D15" s="53" t="s">
        <v>65</v>
      </c>
      <c r="E15" s="53" t="s">
        <v>66</v>
      </c>
      <c r="F15" s="53" t="s">
        <v>123</v>
      </c>
      <c r="G15" s="53" t="s">
        <v>68</v>
      </c>
      <c r="H15" s="53">
        <v>2</v>
      </c>
      <c r="I15" s="53">
        <v>0.61699999999999999</v>
      </c>
      <c r="J15" s="53">
        <v>1.651</v>
      </c>
      <c r="K15" s="53">
        <v>1.663</v>
      </c>
      <c r="L15" s="53">
        <v>96.968999999999994</v>
      </c>
      <c r="M15" s="53">
        <v>96.935000000000002</v>
      </c>
      <c r="N15" s="54" t="s">
        <v>124</v>
      </c>
      <c r="O15" s="53" t="s">
        <v>125</v>
      </c>
      <c r="P15" s="53" t="s">
        <v>71</v>
      </c>
      <c r="Q15" s="53" t="s">
        <v>126</v>
      </c>
      <c r="R15" s="53" t="s">
        <v>127</v>
      </c>
      <c r="S15" s="54">
        <f t="shared" ca="1" si="0"/>
        <v>3.0335386721423681</v>
      </c>
      <c r="T15" s="53">
        <f t="shared" si="2"/>
        <v>96.951999999999998</v>
      </c>
      <c r="U15" s="53">
        <v>14</v>
      </c>
      <c r="V15" s="4">
        <f t="shared" ca="1" si="3"/>
        <v>3</v>
      </c>
      <c r="W15" s="51">
        <f t="shared" ca="1" si="4"/>
        <v>2</v>
      </c>
      <c r="X15" s="4">
        <f t="shared" ca="1" si="5"/>
        <v>0.57970879120879115</v>
      </c>
      <c r="Y15" s="4">
        <f t="shared" ca="1" si="6"/>
        <v>96.372291208791211</v>
      </c>
      <c r="Z15">
        <f t="shared" si="7"/>
        <v>1.657</v>
      </c>
    </row>
    <row r="16" spans="1:26" x14ac:dyDescent="0.35">
      <c r="A16" s="53" t="s">
        <v>33</v>
      </c>
      <c r="B16" s="53" t="s">
        <v>63</v>
      </c>
      <c r="C16" s="53" t="s">
        <v>64</v>
      </c>
      <c r="D16" s="53" t="s">
        <v>65</v>
      </c>
      <c r="E16" s="53" t="s">
        <v>66</v>
      </c>
      <c r="F16" s="53" t="s">
        <v>128</v>
      </c>
      <c r="G16" s="53" t="s">
        <v>68</v>
      </c>
      <c r="H16" s="53">
        <v>2</v>
      </c>
      <c r="I16" s="53">
        <v>0.22</v>
      </c>
      <c r="J16" s="53">
        <v>1.274</v>
      </c>
      <c r="K16" s="53">
        <v>1.292</v>
      </c>
      <c r="L16" s="53">
        <v>98.73</v>
      </c>
      <c r="M16" s="53">
        <v>98.709000000000003</v>
      </c>
      <c r="N16" s="54" t="s">
        <v>129</v>
      </c>
      <c r="O16" s="53" t="s">
        <v>130</v>
      </c>
      <c r="P16" s="53" t="s">
        <v>71</v>
      </c>
      <c r="Q16" s="53" t="s">
        <v>87</v>
      </c>
      <c r="R16" s="53" t="s">
        <v>88</v>
      </c>
      <c r="S16" s="54">
        <f t="shared" ca="1" si="0"/>
        <v>1.1745379876796715</v>
      </c>
      <c r="T16" s="53">
        <f t="shared" si="2"/>
        <v>98.719500000000011</v>
      </c>
      <c r="U16" s="53">
        <v>15</v>
      </c>
      <c r="V16" s="4">
        <f t="shared" ca="1" si="3"/>
        <v>1</v>
      </c>
      <c r="W16" s="51">
        <f t="shared" ca="1" si="4"/>
        <v>9</v>
      </c>
      <c r="X16" s="4">
        <f t="shared" ca="1" si="5"/>
        <v>0.14263736263736265</v>
      </c>
      <c r="Y16" s="4">
        <f t="shared" ca="1" si="6"/>
        <v>98.576862637362652</v>
      </c>
      <c r="Z16">
        <f t="shared" si="7"/>
        <v>1.2829999999999999</v>
      </c>
    </row>
    <row r="17" spans="1:26" x14ac:dyDescent="0.35">
      <c r="A17" s="53" t="s">
        <v>34</v>
      </c>
      <c r="B17" s="53" t="s">
        <v>74</v>
      </c>
      <c r="C17" s="53" t="s">
        <v>64</v>
      </c>
      <c r="D17" s="53" t="s">
        <v>65</v>
      </c>
      <c r="E17" s="53" t="s">
        <v>66</v>
      </c>
      <c r="F17" s="53" t="s">
        <v>131</v>
      </c>
      <c r="G17" s="53" t="s">
        <v>68</v>
      </c>
      <c r="H17" s="53">
        <v>2</v>
      </c>
      <c r="I17" s="53">
        <v>1.18</v>
      </c>
      <c r="J17" s="53">
        <v>2.0880000000000001</v>
      </c>
      <c r="K17" s="53">
        <v>2.0880000000000001</v>
      </c>
      <c r="L17" s="53">
        <v>95.254999999999995</v>
      </c>
      <c r="M17" s="53">
        <v>95.254999999999995</v>
      </c>
      <c r="N17" s="54" t="s">
        <v>132</v>
      </c>
      <c r="O17" s="53" t="s">
        <v>133</v>
      </c>
      <c r="P17" s="53" t="s">
        <v>71</v>
      </c>
      <c r="Q17" s="53" t="s">
        <v>134</v>
      </c>
      <c r="R17" s="53" t="s">
        <v>135</v>
      </c>
      <c r="S17" s="54">
        <f t="shared" ca="1" si="0"/>
        <v>5.8179329226557153</v>
      </c>
      <c r="T17" s="53">
        <f t="shared" si="2"/>
        <v>95.254999999999995</v>
      </c>
      <c r="U17" s="53">
        <v>16</v>
      </c>
      <c r="V17" s="4">
        <f t="shared" ca="1" si="3"/>
        <v>5.5</v>
      </c>
      <c r="W17" s="51">
        <f t="shared" ca="1" si="4"/>
        <v>1</v>
      </c>
      <c r="X17" s="4">
        <f t="shared" ca="1" si="5"/>
        <v>0.4279120879120879</v>
      </c>
      <c r="Y17" s="4">
        <f t="shared" ca="1" si="6"/>
        <v>94.827087912087904</v>
      </c>
      <c r="Z17">
        <f t="shared" si="7"/>
        <v>2.0880000000000001</v>
      </c>
    </row>
    <row r="18" spans="1:26" x14ac:dyDescent="0.35">
      <c r="A18" s="53" t="s">
        <v>35</v>
      </c>
      <c r="B18" s="53" t="s">
        <v>63</v>
      </c>
      <c r="C18" s="53" t="s">
        <v>64</v>
      </c>
      <c r="D18" s="53" t="s">
        <v>65</v>
      </c>
      <c r="E18" s="53" t="s">
        <v>66</v>
      </c>
      <c r="F18" s="53" t="s">
        <v>136</v>
      </c>
      <c r="G18" s="53" t="s">
        <v>68</v>
      </c>
      <c r="H18" s="53">
        <v>2</v>
      </c>
      <c r="I18" s="53">
        <v>0.32400000000000001</v>
      </c>
      <c r="J18" s="53">
        <v>2.1549999999999998</v>
      </c>
      <c r="K18" s="53">
        <v>2.1549999999999998</v>
      </c>
      <c r="L18" s="53">
        <v>89.953999999999994</v>
      </c>
      <c r="M18" s="53">
        <v>89.953999999999994</v>
      </c>
      <c r="N18" s="54" t="s">
        <v>137</v>
      </c>
      <c r="O18" s="53" t="s">
        <v>138</v>
      </c>
      <c r="P18" s="53" t="s">
        <v>71</v>
      </c>
      <c r="Q18" s="53" t="s">
        <v>139</v>
      </c>
      <c r="R18" s="53" t="s">
        <v>88</v>
      </c>
      <c r="S18" s="54">
        <f t="shared" ca="1" si="0"/>
        <v>6.1765913757700206</v>
      </c>
      <c r="T18" s="53">
        <f t="shared" si="2"/>
        <v>89.953999999999994</v>
      </c>
      <c r="U18" s="53">
        <v>17</v>
      </c>
      <c r="V18" s="4">
        <f t="shared" ca="1" si="3"/>
        <v>6</v>
      </c>
      <c r="W18" s="51">
        <f t="shared" ca="1" si="4"/>
        <v>4</v>
      </c>
      <c r="X18" s="4">
        <f t="shared" ca="1" si="5"/>
        <v>0.21006593406593407</v>
      </c>
      <c r="Y18" s="4">
        <f t="shared" ca="1" si="6"/>
        <v>89.743934065934056</v>
      </c>
      <c r="Z18">
        <f t="shared" si="7"/>
        <v>2.1549999999999998</v>
      </c>
    </row>
    <row r="19" spans="1:26" x14ac:dyDescent="0.35">
      <c r="A19" s="53" t="s">
        <v>36</v>
      </c>
      <c r="B19" s="53" t="s">
        <v>74</v>
      </c>
      <c r="C19" s="53" t="s">
        <v>64</v>
      </c>
      <c r="D19" s="53" t="s">
        <v>65</v>
      </c>
      <c r="E19" s="53" t="s">
        <v>66</v>
      </c>
      <c r="F19" s="53" t="s">
        <v>140</v>
      </c>
      <c r="G19" s="53" t="s">
        <v>68</v>
      </c>
      <c r="H19" s="53">
        <v>2</v>
      </c>
      <c r="I19" s="53">
        <v>0.77300000000000002</v>
      </c>
      <c r="J19" s="53">
        <v>1.014</v>
      </c>
      <c r="K19" s="53">
        <v>1.214</v>
      </c>
      <c r="L19" s="53">
        <v>99.820999999999998</v>
      </c>
      <c r="M19" s="53">
        <v>99.673000000000002</v>
      </c>
      <c r="N19" s="54" t="s">
        <v>141</v>
      </c>
      <c r="O19" s="53" t="s">
        <v>142</v>
      </c>
      <c r="P19" s="53" t="s">
        <v>97</v>
      </c>
      <c r="Q19" s="53" t="s">
        <v>143</v>
      </c>
      <c r="R19" s="53" t="s">
        <v>144</v>
      </c>
      <c r="S19" s="54">
        <f t="shared" ca="1" si="0"/>
        <v>0.70088980150581792</v>
      </c>
      <c r="T19" s="53">
        <f t="shared" si="2"/>
        <v>99.747</v>
      </c>
      <c r="U19" s="53">
        <v>18</v>
      </c>
      <c r="V19" s="4">
        <f t="shared" ca="1" si="3"/>
        <v>0.5</v>
      </c>
      <c r="W19" s="51">
        <f t="shared" ca="1" si="4"/>
        <v>2</v>
      </c>
      <c r="X19" s="4">
        <f t="shared" ca="1" si="5"/>
        <v>0.45870329670329674</v>
      </c>
      <c r="Y19" s="4">
        <f t="shared" ca="1" si="6"/>
        <v>99.288296703296709</v>
      </c>
      <c r="Z19">
        <f t="shared" si="7"/>
        <v>1.1139999999999999</v>
      </c>
    </row>
    <row r="20" spans="1:26" x14ac:dyDescent="0.35">
      <c r="A20" s="53" t="s">
        <v>37</v>
      </c>
      <c r="B20" s="53" t="s">
        <v>74</v>
      </c>
      <c r="C20" s="53" t="s">
        <v>64</v>
      </c>
      <c r="D20" s="53" t="s">
        <v>65</v>
      </c>
      <c r="E20" s="53" t="s">
        <v>66</v>
      </c>
      <c r="F20" s="53" t="s">
        <v>145</v>
      </c>
      <c r="G20" s="53" t="s">
        <v>68</v>
      </c>
      <c r="H20" s="53">
        <v>2</v>
      </c>
      <c r="I20" s="53">
        <v>1.0509999999999999</v>
      </c>
      <c r="J20" s="53">
        <v>1.8090000000000002</v>
      </c>
      <c r="K20" s="53">
        <v>1.8090000000000002</v>
      </c>
      <c r="L20" s="53">
        <v>97.260999999999996</v>
      </c>
      <c r="M20" s="53">
        <v>97.260999999999996</v>
      </c>
      <c r="N20" s="54" t="s">
        <v>146</v>
      </c>
      <c r="O20" s="53" t="s">
        <v>147</v>
      </c>
      <c r="P20" s="53" t="s">
        <v>71</v>
      </c>
      <c r="Q20" s="53" t="s">
        <v>134</v>
      </c>
      <c r="R20" s="53" t="s">
        <v>135</v>
      </c>
      <c r="S20" s="54">
        <f t="shared" ca="1" si="0"/>
        <v>3.8193018480492813</v>
      </c>
      <c r="T20" s="53">
        <f t="shared" si="2"/>
        <v>97.260999999999996</v>
      </c>
      <c r="U20" s="53">
        <v>19</v>
      </c>
      <c r="V20" s="4">
        <f t="shared" ca="1" si="3"/>
        <v>3.5</v>
      </c>
      <c r="W20" s="51">
        <f t="shared" ca="1" si="4"/>
        <v>1</v>
      </c>
      <c r="X20" s="4">
        <f t="shared" ca="1" si="5"/>
        <v>0.38113186813186811</v>
      </c>
      <c r="Y20" s="4">
        <f t="shared" ca="1" si="6"/>
        <v>96.879868131868122</v>
      </c>
      <c r="Z20">
        <f t="shared" si="7"/>
        <v>1.8090000000000002</v>
      </c>
    </row>
    <row r="21" spans="1:26" x14ac:dyDescent="0.35">
      <c r="A21" s="53" t="s">
        <v>38</v>
      </c>
      <c r="B21" s="53" t="s">
        <v>74</v>
      </c>
      <c r="C21" s="53" t="s">
        <v>64</v>
      </c>
      <c r="D21" s="53" t="s">
        <v>65</v>
      </c>
      <c r="E21" s="53" t="s">
        <v>66</v>
      </c>
      <c r="F21" s="53" t="s">
        <v>148</v>
      </c>
      <c r="G21" s="53" t="s">
        <v>68</v>
      </c>
      <c r="H21" s="53">
        <v>2</v>
      </c>
      <c r="I21" s="53">
        <v>0.26500000000000001</v>
      </c>
      <c r="J21" s="53">
        <v>1.4179999999999999</v>
      </c>
      <c r="K21" s="53">
        <v>1.4330000000000001</v>
      </c>
      <c r="L21" s="53">
        <v>98.183999999999997</v>
      </c>
      <c r="M21" s="53">
        <v>98.16</v>
      </c>
      <c r="N21" s="54" t="s">
        <v>149</v>
      </c>
      <c r="O21" s="53" t="s">
        <v>150</v>
      </c>
      <c r="P21" s="53" t="s">
        <v>71</v>
      </c>
      <c r="Q21" s="53" t="s">
        <v>151</v>
      </c>
      <c r="R21" s="53" t="s">
        <v>152</v>
      </c>
      <c r="S21" s="54">
        <f t="shared" ca="1" si="0"/>
        <v>1.5633127994524298</v>
      </c>
      <c r="T21" s="53">
        <f t="shared" si="2"/>
        <v>98.171999999999997</v>
      </c>
      <c r="U21" s="53">
        <v>20</v>
      </c>
      <c r="V21" s="4">
        <f t="shared" ca="1" si="3"/>
        <v>1.5</v>
      </c>
      <c r="W21" s="51">
        <f t="shared" ca="1" si="4"/>
        <v>9</v>
      </c>
      <c r="X21" s="4">
        <f t="shared" ca="1" si="5"/>
        <v>0.22859890109890113</v>
      </c>
      <c r="Y21" s="4">
        <f t="shared" ca="1" si="6"/>
        <v>97.943401098901091</v>
      </c>
      <c r="Z21">
        <f t="shared" si="7"/>
        <v>1.4255</v>
      </c>
    </row>
    <row r="22" spans="1:26" x14ac:dyDescent="0.35">
      <c r="A22" s="53" t="s">
        <v>39</v>
      </c>
      <c r="B22" s="53" t="s">
        <v>63</v>
      </c>
      <c r="C22" s="53" t="s">
        <v>64</v>
      </c>
      <c r="D22" s="53" t="s">
        <v>65</v>
      </c>
      <c r="E22" s="53" t="s">
        <v>66</v>
      </c>
      <c r="F22" s="53" t="s">
        <v>153</v>
      </c>
      <c r="G22" s="53" t="s">
        <v>68</v>
      </c>
      <c r="H22" s="53">
        <v>2</v>
      </c>
      <c r="I22" s="53">
        <v>0.34300000000000003</v>
      </c>
      <c r="J22" s="53">
        <v>2.839</v>
      </c>
      <c r="K22" s="53">
        <v>2.839</v>
      </c>
      <c r="L22" s="53">
        <v>80.22</v>
      </c>
      <c r="M22" s="53">
        <v>80.22</v>
      </c>
      <c r="N22" s="54" t="s">
        <v>154</v>
      </c>
      <c r="O22" s="53" t="s">
        <v>155</v>
      </c>
      <c r="P22" s="53" t="s">
        <v>71</v>
      </c>
      <c r="Q22" s="53" t="s">
        <v>83</v>
      </c>
      <c r="R22" s="53" t="s">
        <v>80</v>
      </c>
      <c r="S22" s="54">
        <f t="shared" ca="1" si="0"/>
        <v>10.179329226557153</v>
      </c>
      <c r="T22" s="53">
        <f t="shared" si="2"/>
        <v>80.22</v>
      </c>
      <c r="U22" s="53">
        <v>21</v>
      </c>
      <c r="V22" s="4">
        <f t="shared" ca="1" si="3"/>
        <v>10</v>
      </c>
      <c r="W22" s="51">
        <f t="shared" ca="1" si="4"/>
        <v>10</v>
      </c>
      <c r="X22" s="4">
        <f t="shared" ca="1" si="5"/>
        <v>0.22050000000000003</v>
      </c>
      <c r="Y22" s="4">
        <f t="shared" ca="1" si="6"/>
        <v>79.999499999999998</v>
      </c>
      <c r="Z22">
        <f t="shared" si="7"/>
        <v>2.839</v>
      </c>
    </row>
    <row r="23" spans="1:26" x14ac:dyDescent="0.35">
      <c r="A23" s="53" t="s">
        <v>40</v>
      </c>
      <c r="B23" s="53" t="s">
        <v>74</v>
      </c>
      <c r="C23" s="53" t="s">
        <v>64</v>
      </c>
      <c r="D23" s="53" t="s">
        <v>65</v>
      </c>
      <c r="E23" s="53" t="s">
        <v>66</v>
      </c>
      <c r="F23" s="53" t="s">
        <v>156</v>
      </c>
      <c r="G23" s="53" t="s">
        <v>68</v>
      </c>
      <c r="H23" s="53">
        <v>2</v>
      </c>
      <c r="I23" s="53">
        <v>1.708</v>
      </c>
      <c r="J23" s="53">
        <v>2.1469999999999998</v>
      </c>
      <c r="K23" s="53">
        <v>2.1469999999999998</v>
      </c>
      <c r="L23" s="53">
        <v>97.463999999999999</v>
      </c>
      <c r="M23" s="53">
        <v>97.463999999999999</v>
      </c>
      <c r="N23" s="54" t="s">
        <v>157</v>
      </c>
      <c r="O23" s="53" t="s">
        <v>158</v>
      </c>
      <c r="P23" s="53" t="s">
        <v>71</v>
      </c>
      <c r="Q23" s="53" t="s">
        <v>110</v>
      </c>
      <c r="R23" s="53" t="s">
        <v>111</v>
      </c>
      <c r="S23" s="54">
        <f t="shared" ca="1" si="0"/>
        <v>6.5462012320328542</v>
      </c>
      <c r="T23" s="53">
        <f t="shared" si="2"/>
        <v>97.463999999999999</v>
      </c>
      <c r="U23" s="53">
        <v>22</v>
      </c>
      <c r="V23" s="4">
        <f t="shared" ca="1" si="3"/>
        <v>6.5</v>
      </c>
      <c r="W23" s="51">
        <f t="shared" ca="1" si="4"/>
        <v>1</v>
      </c>
      <c r="X23" s="4">
        <f t="shared" ca="1" si="5"/>
        <v>1.539076923076923</v>
      </c>
      <c r="Y23" s="4">
        <f t="shared" ca="1" si="6"/>
        <v>95.924923076923079</v>
      </c>
      <c r="Z23">
        <f t="shared" si="7"/>
        <v>2.1469999999999998</v>
      </c>
    </row>
    <row r="24" spans="1:26" x14ac:dyDescent="0.35">
      <c r="A24" s="53" t="s">
        <v>41</v>
      </c>
      <c r="B24" s="53" t="s">
        <v>74</v>
      </c>
      <c r="C24" s="53" t="s">
        <v>64</v>
      </c>
      <c r="D24" s="53" t="s">
        <v>65</v>
      </c>
      <c r="E24" s="53" t="s">
        <v>66</v>
      </c>
      <c r="F24" s="53" t="s">
        <v>159</v>
      </c>
      <c r="G24" s="53" t="s">
        <v>68</v>
      </c>
      <c r="H24" s="53">
        <v>2</v>
      </c>
      <c r="I24" s="53">
        <v>0.9</v>
      </c>
      <c r="J24" s="53">
        <v>1.452</v>
      </c>
      <c r="K24" s="53">
        <v>1.464</v>
      </c>
      <c r="L24" s="53">
        <v>99</v>
      </c>
      <c r="M24" s="53">
        <v>98.977999999999994</v>
      </c>
      <c r="N24" s="54" t="s">
        <v>160</v>
      </c>
      <c r="O24" s="53" t="s">
        <v>161</v>
      </c>
      <c r="P24" s="53" t="s">
        <v>71</v>
      </c>
      <c r="Q24" s="53" t="s">
        <v>134</v>
      </c>
      <c r="R24" s="53" t="s">
        <v>135</v>
      </c>
      <c r="S24" s="54">
        <f t="shared" ca="1" si="0"/>
        <v>1.8124572210814511</v>
      </c>
      <c r="T24" s="53">
        <f t="shared" si="2"/>
        <v>98.989000000000004</v>
      </c>
      <c r="U24" s="53">
        <v>23</v>
      </c>
      <c r="V24" s="4">
        <f t="shared" ca="1" si="3"/>
        <v>1.5</v>
      </c>
      <c r="W24" s="51">
        <f t="shared" ca="1" si="4"/>
        <v>1</v>
      </c>
      <c r="X24" s="4">
        <f t="shared" ca="1" si="5"/>
        <v>0.32637362637362638</v>
      </c>
      <c r="Y24" s="4">
        <f t="shared" ca="1" si="6"/>
        <v>98.662626373626381</v>
      </c>
      <c r="Z24">
        <f t="shared" si="7"/>
        <v>1.458</v>
      </c>
    </row>
    <row r="25" spans="1:26" x14ac:dyDescent="0.35">
      <c r="A25" s="53" t="s">
        <v>42</v>
      </c>
      <c r="B25" s="53" t="s">
        <v>74</v>
      </c>
      <c r="C25" s="53" t="s">
        <v>64</v>
      </c>
      <c r="D25" s="53" t="s">
        <v>65</v>
      </c>
      <c r="E25" s="53" t="s">
        <v>66</v>
      </c>
      <c r="F25" s="53" t="s">
        <v>162</v>
      </c>
      <c r="G25" s="53" t="s">
        <v>68</v>
      </c>
      <c r="H25" s="53">
        <v>2</v>
      </c>
      <c r="I25" s="53">
        <v>0.57299999999999995</v>
      </c>
      <c r="J25" s="53">
        <v>1.4060000000000001</v>
      </c>
      <c r="K25" s="53">
        <v>1.421</v>
      </c>
      <c r="L25" s="53">
        <v>98.715999999999994</v>
      </c>
      <c r="M25" s="53">
        <v>98.694000000000003</v>
      </c>
      <c r="N25" s="54" t="s">
        <v>163</v>
      </c>
      <c r="O25" s="53" t="s">
        <v>164</v>
      </c>
      <c r="P25" s="53" t="s">
        <v>71</v>
      </c>
      <c r="Q25" s="53" t="s">
        <v>165</v>
      </c>
      <c r="R25" s="53" t="s">
        <v>127</v>
      </c>
      <c r="S25" s="54">
        <f t="shared" ca="1" si="0"/>
        <v>1.5249828884325805</v>
      </c>
      <c r="T25" s="53">
        <f t="shared" si="2"/>
        <v>98.704999999999998</v>
      </c>
      <c r="U25" s="53">
        <v>24</v>
      </c>
      <c r="V25" s="4">
        <f t="shared" ca="1" si="3"/>
        <v>1.5</v>
      </c>
      <c r="W25" s="51">
        <f t="shared" ca="1" si="4"/>
        <v>2</v>
      </c>
      <c r="X25" s="4">
        <f t="shared" ca="1" si="5"/>
        <v>0.53836813186813182</v>
      </c>
      <c r="Y25" s="4">
        <f t="shared" ca="1" si="6"/>
        <v>98.166631868131873</v>
      </c>
      <c r="Z25">
        <f t="shared" si="7"/>
        <v>1.4135</v>
      </c>
    </row>
    <row r="26" spans="1:26" x14ac:dyDescent="0.35">
      <c r="A26" s="53" t="s">
        <v>43</v>
      </c>
      <c r="B26" s="53" t="s">
        <v>74</v>
      </c>
      <c r="C26" s="53" t="s">
        <v>64</v>
      </c>
      <c r="D26" s="53" t="s">
        <v>65</v>
      </c>
      <c r="E26" s="53" t="s">
        <v>66</v>
      </c>
      <c r="F26" s="53" t="s">
        <v>166</v>
      </c>
      <c r="G26" s="53" t="s">
        <v>68</v>
      </c>
      <c r="H26" s="53">
        <v>2</v>
      </c>
      <c r="I26" s="53">
        <v>0.71</v>
      </c>
      <c r="J26" s="53">
        <v>1.77</v>
      </c>
      <c r="K26" s="53">
        <v>1.77</v>
      </c>
      <c r="L26" s="53">
        <v>96.433000000000007</v>
      </c>
      <c r="M26" s="53">
        <v>96.433000000000007</v>
      </c>
      <c r="N26" s="54" t="s">
        <v>167</v>
      </c>
      <c r="O26" s="53" t="s">
        <v>168</v>
      </c>
      <c r="P26" s="53" t="s">
        <v>71</v>
      </c>
      <c r="Q26" s="53" t="s">
        <v>165</v>
      </c>
      <c r="R26" s="53" t="s">
        <v>127</v>
      </c>
      <c r="S26" s="54">
        <f t="shared" ca="1" si="0"/>
        <v>3.5318275154004106</v>
      </c>
      <c r="T26" s="53">
        <f t="shared" si="2"/>
        <v>96.433000000000007</v>
      </c>
      <c r="U26" s="53">
        <v>25</v>
      </c>
      <c r="V26" s="4">
        <f t="shared" ca="1" si="3"/>
        <v>3.5</v>
      </c>
      <c r="W26" s="51">
        <f t="shared" ca="1" si="4"/>
        <v>2</v>
      </c>
      <c r="X26" s="4">
        <f t="shared" ca="1" si="5"/>
        <v>0.66708791208791207</v>
      </c>
      <c r="Y26" s="4">
        <f t="shared" ca="1" si="6"/>
        <v>95.765912087912099</v>
      </c>
      <c r="Z26">
        <f t="shared" si="7"/>
        <v>1.77</v>
      </c>
    </row>
    <row r="27" spans="1:26" x14ac:dyDescent="0.35">
      <c r="A27" s="53" t="s">
        <v>44</v>
      </c>
      <c r="B27" s="53" t="s">
        <v>74</v>
      </c>
      <c r="C27" s="53" t="s">
        <v>64</v>
      </c>
      <c r="D27" s="53" t="s">
        <v>65</v>
      </c>
      <c r="E27" s="53" t="s">
        <v>66</v>
      </c>
      <c r="F27" s="53" t="s">
        <v>169</v>
      </c>
      <c r="G27" s="53" t="s">
        <v>68</v>
      </c>
      <c r="H27" s="53">
        <v>2</v>
      </c>
      <c r="I27" s="53">
        <v>0.41399999999999998</v>
      </c>
      <c r="J27" s="53">
        <v>1.2589999999999999</v>
      </c>
      <c r="K27" s="53">
        <v>1.2809999999935633</v>
      </c>
      <c r="L27" s="53">
        <v>99.103999999999999</v>
      </c>
      <c r="M27" s="53">
        <v>99.081000000000003</v>
      </c>
      <c r="N27" s="54" t="s">
        <v>170</v>
      </c>
      <c r="O27" s="53" t="s">
        <v>171</v>
      </c>
      <c r="P27" s="53" t="s">
        <v>71</v>
      </c>
      <c r="Q27" s="53" t="s">
        <v>126</v>
      </c>
      <c r="R27" s="53" t="s">
        <v>127</v>
      </c>
      <c r="S27" s="54">
        <f t="shared" ca="1" si="0"/>
        <v>1.0266940451745379</v>
      </c>
      <c r="T27" s="53">
        <f t="shared" si="2"/>
        <v>99.092500000000001</v>
      </c>
      <c r="U27" s="53">
        <v>26</v>
      </c>
      <c r="V27" s="4">
        <f t="shared" ca="1" si="3"/>
        <v>1</v>
      </c>
      <c r="W27" s="51">
        <f t="shared" ca="1" si="4"/>
        <v>2</v>
      </c>
      <c r="X27" s="4">
        <f t="shared" ca="1" si="5"/>
        <v>0.38897802197802195</v>
      </c>
      <c r="Y27" s="4">
        <f t="shared" ca="1" si="6"/>
        <v>98.703521978021982</v>
      </c>
      <c r="Z27">
        <f t="shared" si="7"/>
        <v>1.2699999999967817</v>
      </c>
    </row>
    <row r="28" spans="1:26" x14ac:dyDescent="0.35">
      <c r="A28" s="53" t="s">
        <v>45</v>
      </c>
      <c r="B28" s="53" t="s">
        <v>63</v>
      </c>
      <c r="C28" s="53" t="s">
        <v>64</v>
      </c>
      <c r="D28" s="53" t="s">
        <v>65</v>
      </c>
      <c r="E28" s="53" t="s">
        <v>66</v>
      </c>
      <c r="F28" s="53" t="s">
        <v>172</v>
      </c>
      <c r="G28" s="53" t="s">
        <v>68</v>
      </c>
      <c r="H28" s="53">
        <v>2</v>
      </c>
      <c r="I28" s="53">
        <v>0.73499999999999999</v>
      </c>
      <c r="J28" s="53">
        <v>2.2589999999964094</v>
      </c>
      <c r="K28" s="53">
        <v>2.2589999999964094</v>
      </c>
      <c r="L28" s="53">
        <v>90.54</v>
      </c>
      <c r="M28" s="53">
        <v>90.54</v>
      </c>
      <c r="N28" s="54" t="s">
        <v>173</v>
      </c>
      <c r="O28" s="53" t="s">
        <v>174</v>
      </c>
      <c r="P28" s="53" t="s">
        <v>71</v>
      </c>
      <c r="Q28" s="53" t="s">
        <v>175</v>
      </c>
      <c r="R28" s="53" t="s">
        <v>176</v>
      </c>
      <c r="S28" s="54">
        <f t="shared" ca="1" si="0"/>
        <v>7.1731690622861057</v>
      </c>
      <c r="T28" s="53">
        <f t="shared" si="2"/>
        <v>90.54</v>
      </c>
      <c r="U28" s="53">
        <v>27</v>
      </c>
      <c r="V28" s="4">
        <f t="shared" ca="1" si="3"/>
        <v>7</v>
      </c>
      <c r="W28" s="51">
        <f t="shared" ca="1" si="4"/>
        <v>3</v>
      </c>
      <c r="X28" s="4">
        <f t="shared" ca="1" si="5"/>
        <v>0.48057692307692307</v>
      </c>
      <c r="Y28" s="4">
        <f t="shared" ca="1" si="6"/>
        <v>90.059423076923082</v>
      </c>
      <c r="Z28">
        <f t="shared" si="7"/>
        <v>2.2589999999964094</v>
      </c>
    </row>
    <row r="29" spans="1:26" x14ac:dyDescent="0.35">
      <c r="A29" s="53" t="s">
        <v>46</v>
      </c>
      <c r="B29" s="53" t="s">
        <v>63</v>
      </c>
      <c r="C29" s="53" t="s">
        <v>64</v>
      </c>
      <c r="D29" s="53" t="s">
        <v>65</v>
      </c>
      <c r="E29" s="53" t="s">
        <v>66</v>
      </c>
      <c r="F29" s="53" t="s">
        <v>177</v>
      </c>
      <c r="G29" s="53" t="s">
        <v>68</v>
      </c>
      <c r="H29" s="53">
        <v>2</v>
      </c>
      <c r="I29" s="53">
        <v>0.33</v>
      </c>
      <c r="J29" s="53">
        <v>1.4870000000000001</v>
      </c>
      <c r="K29" s="53">
        <v>1.4870000000000001</v>
      </c>
      <c r="L29" s="53">
        <v>97.513999999999996</v>
      </c>
      <c r="M29" s="53">
        <v>97.513999999999996</v>
      </c>
      <c r="N29" s="54" t="s">
        <v>178</v>
      </c>
      <c r="O29" s="53" t="s">
        <v>179</v>
      </c>
      <c r="P29" s="53" t="s">
        <v>71</v>
      </c>
      <c r="Q29" s="53" t="s">
        <v>175</v>
      </c>
      <c r="R29" s="53" t="s">
        <v>176</v>
      </c>
      <c r="S29" s="54">
        <f t="shared" ca="1" si="0"/>
        <v>2.1738535249828885</v>
      </c>
      <c r="T29" s="53">
        <f t="shared" si="2"/>
        <v>97.513999999999996</v>
      </c>
      <c r="U29" s="53">
        <v>28</v>
      </c>
      <c r="V29" s="4">
        <f t="shared" ca="1" si="3"/>
        <v>2</v>
      </c>
      <c r="W29" s="51">
        <f t="shared" ca="1" si="4"/>
        <v>3</v>
      </c>
      <c r="X29" s="4">
        <f t="shared" ca="1" si="5"/>
        <v>0.21576923076923077</v>
      </c>
      <c r="Y29" s="4">
        <f t="shared" ca="1" si="6"/>
        <v>97.29823076923077</v>
      </c>
      <c r="Z29">
        <f t="shared" si="7"/>
        <v>1.4870000000000001</v>
      </c>
    </row>
    <row r="30" spans="1:26" x14ac:dyDescent="0.35">
      <c r="A30" s="53" t="s">
        <v>47</v>
      </c>
      <c r="B30" s="53" t="s">
        <v>74</v>
      </c>
      <c r="C30" s="53" t="s">
        <v>64</v>
      </c>
      <c r="D30" s="53" t="s">
        <v>65</v>
      </c>
      <c r="E30" s="53" t="s">
        <v>66</v>
      </c>
      <c r="F30" s="53" t="s">
        <v>180</v>
      </c>
      <c r="G30" s="53" t="s">
        <v>68</v>
      </c>
      <c r="H30" s="53">
        <v>2</v>
      </c>
      <c r="I30" s="53">
        <v>0.26500000000000001</v>
      </c>
      <c r="J30" s="53">
        <v>1.3460000000000001</v>
      </c>
      <c r="K30" s="53">
        <v>1.3599999999999999</v>
      </c>
      <c r="L30" s="53">
        <v>98.552999999999997</v>
      </c>
      <c r="M30" s="53">
        <v>98.534000000000006</v>
      </c>
      <c r="N30" s="54" t="s">
        <v>181</v>
      </c>
      <c r="O30" s="53" t="s">
        <v>182</v>
      </c>
      <c r="P30" s="53" t="s">
        <v>71</v>
      </c>
      <c r="Q30" s="53" t="s">
        <v>183</v>
      </c>
      <c r="R30" s="53" t="s">
        <v>184</v>
      </c>
      <c r="S30" s="54">
        <f t="shared" ca="1" si="0"/>
        <v>1.3141683778234086</v>
      </c>
      <c r="T30" s="53">
        <f t="shared" si="2"/>
        <v>98.543499999999995</v>
      </c>
      <c r="U30" s="53">
        <v>29</v>
      </c>
      <c r="V30" s="4">
        <f t="shared" ca="1" si="3"/>
        <v>1</v>
      </c>
      <c r="W30" s="51">
        <f t="shared" ca="1" si="4"/>
        <v>9</v>
      </c>
      <c r="X30" s="4">
        <f t="shared" ca="1" si="5"/>
        <v>9.4642857142857154E-2</v>
      </c>
      <c r="Y30" s="4">
        <f t="shared" ca="1" si="6"/>
        <v>98.448857142857136</v>
      </c>
      <c r="Z30">
        <f t="shared" si="7"/>
        <v>1.353</v>
      </c>
    </row>
    <row r="31" spans="1:26" x14ac:dyDescent="0.35">
      <c r="A31" s="53" t="s">
        <v>48</v>
      </c>
      <c r="B31" s="53" t="s">
        <v>74</v>
      </c>
      <c r="C31" s="53" t="s">
        <v>64</v>
      </c>
      <c r="D31" s="53" t="s">
        <v>65</v>
      </c>
      <c r="E31" s="53" t="s">
        <v>66</v>
      </c>
      <c r="F31" s="53" t="s">
        <v>185</v>
      </c>
      <c r="G31" s="53" t="s">
        <v>68</v>
      </c>
      <c r="H31" s="53">
        <v>2</v>
      </c>
      <c r="I31" s="53">
        <v>0.31900000000000001</v>
      </c>
      <c r="J31" s="53">
        <v>1.5649999999999999</v>
      </c>
      <c r="K31" s="53">
        <v>1.579</v>
      </c>
      <c r="L31" s="53">
        <v>96.870999999999995</v>
      </c>
      <c r="M31" s="53">
        <v>96.837000000000003</v>
      </c>
      <c r="N31" s="54" t="s">
        <v>186</v>
      </c>
      <c r="O31" s="53" t="s">
        <v>187</v>
      </c>
      <c r="P31" s="53" t="s">
        <v>71</v>
      </c>
      <c r="Q31" s="53" t="s">
        <v>188</v>
      </c>
      <c r="R31" s="53" t="s">
        <v>189</v>
      </c>
      <c r="S31" s="54">
        <f t="shared" ca="1" si="0"/>
        <v>2.5681040383299112</v>
      </c>
      <c r="T31" s="53">
        <f t="shared" si="2"/>
        <v>96.853999999999999</v>
      </c>
      <c r="U31" s="53">
        <v>30</v>
      </c>
      <c r="V31" s="4">
        <f t="shared" ca="1" si="3"/>
        <v>2.5</v>
      </c>
      <c r="W31" s="51">
        <f t="shared" ca="1" si="4"/>
        <v>8</v>
      </c>
      <c r="X31" s="4">
        <f t="shared" ca="1" si="5"/>
        <v>0.27693406593406594</v>
      </c>
      <c r="Y31" s="4">
        <f t="shared" ca="1" si="6"/>
        <v>96.577065934065928</v>
      </c>
      <c r="Z31">
        <f t="shared" si="7"/>
        <v>1.5720000000000001</v>
      </c>
    </row>
    <row r="32" spans="1:26" x14ac:dyDescent="0.35">
      <c r="A32" s="53" t="s">
        <v>49</v>
      </c>
      <c r="B32" s="53" t="s">
        <v>74</v>
      </c>
      <c r="C32" s="53" t="s">
        <v>64</v>
      </c>
      <c r="D32" s="53" t="s">
        <v>65</v>
      </c>
      <c r="E32" s="53" t="s">
        <v>66</v>
      </c>
      <c r="F32" s="53" t="s">
        <v>190</v>
      </c>
      <c r="G32" s="53" t="s">
        <v>68</v>
      </c>
      <c r="H32" s="53">
        <v>2</v>
      </c>
      <c r="I32" s="53">
        <v>0.06</v>
      </c>
      <c r="J32" s="53">
        <v>1.099</v>
      </c>
      <c r="K32" s="53">
        <v>1.1000000000000001</v>
      </c>
      <c r="L32" s="53">
        <v>99.906000000000006</v>
      </c>
      <c r="M32" s="53">
        <v>99.906000000000006</v>
      </c>
      <c r="N32" s="54" t="s">
        <v>191</v>
      </c>
      <c r="O32" s="53" t="s">
        <v>192</v>
      </c>
      <c r="P32" s="53" t="s">
        <v>71</v>
      </c>
      <c r="Q32" s="53" t="s">
        <v>193</v>
      </c>
      <c r="R32" s="53" t="s">
        <v>190</v>
      </c>
      <c r="S32" s="54">
        <f t="shared" ca="1" si="0"/>
        <v>4.380561259411362E-2</v>
      </c>
      <c r="T32" s="53">
        <f t="shared" si="2"/>
        <v>99.906000000000006</v>
      </c>
      <c r="U32" s="53">
        <v>31</v>
      </c>
      <c r="V32" s="4">
        <f t="shared" ca="1" si="3"/>
        <v>0</v>
      </c>
      <c r="W32" s="51">
        <f t="shared" ca="1" si="4"/>
        <v>5</v>
      </c>
      <c r="X32" s="4">
        <f t="shared" ca="1" si="5"/>
        <v>5.472527472527472E-2</v>
      </c>
      <c r="Y32" s="4">
        <f t="shared" ca="1" si="6"/>
        <v>99.851274725274735</v>
      </c>
      <c r="Z32">
        <f t="shared" si="7"/>
        <v>1.0994999999999999</v>
      </c>
    </row>
    <row r="33" spans="1:26" x14ac:dyDescent="0.35">
      <c r="A33" s="53" t="s">
        <v>50</v>
      </c>
      <c r="B33" s="53" t="s">
        <v>63</v>
      </c>
      <c r="C33" s="53" t="s">
        <v>64</v>
      </c>
      <c r="D33" s="53" t="s">
        <v>65</v>
      </c>
      <c r="E33" s="53" t="s">
        <v>66</v>
      </c>
      <c r="F33" s="53" t="s">
        <v>128</v>
      </c>
      <c r="G33" s="53" t="s">
        <v>68</v>
      </c>
      <c r="H33" s="53">
        <v>2</v>
      </c>
      <c r="I33" s="53">
        <v>0.11</v>
      </c>
      <c r="J33" s="53">
        <v>1.2730000000000001</v>
      </c>
      <c r="K33" s="53">
        <v>1.2909999999999999</v>
      </c>
      <c r="L33" s="53">
        <v>98.599000000000004</v>
      </c>
      <c r="M33" s="53">
        <v>98.578000000000003</v>
      </c>
      <c r="N33" s="54" t="s">
        <v>194</v>
      </c>
      <c r="O33" s="53" t="s">
        <v>195</v>
      </c>
      <c r="P33" s="53" t="s">
        <v>71</v>
      </c>
      <c r="Q33" s="53" t="s">
        <v>139</v>
      </c>
      <c r="R33" s="53" t="s">
        <v>88</v>
      </c>
      <c r="S33" s="54">
        <f t="shared" ca="1" si="0"/>
        <v>1.1745379876796715</v>
      </c>
      <c r="T33" s="53">
        <f t="shared" si="2"/>
        <v>98.58850000000001</v>
      </c>
      <c r="U33" s="53">
        <v>32</v>
      </c>
      <c r="V33" s="4">
        <f t="shared" ca="1" si="3"/>
        <v>1</v>
      </c>
      <c r="W33" s="51">
        <f t="shared" ca="1" si="4"/>
        <v>4</v>
      </c>
      <c r="X33" s="4">
        <f t="shared" ca="1" si="5"/>
        <v>7.1318681318681326E-2</v>
      </c>
      <c r="Y33" s="4">
        <f t="shared" ca="1" si="6"/>
        <v>98.517181318681324</v>
      </c>
      <c r="Z33">
        <f t="shared" si="7"/>
        <v>1.282</v>
      </c>
    </row>
    <row r="34" spans="1:26" x14ac:dyDescent="0.35">
      <c r="A34" s="53" t="s">
        <v>51</v>
      </c>
      <c r="B34" s="53" t="s">
        <v>74</v>
      </c>
      <c r="C34" s="53" t="s">
        <v>64</v>
      </c>
      <c r="D34" s="53" t="s">
        <v>65</v>
      </c>
      <c r="E34" s="53" t="s">
        <v>66</v>
      </c>
      <c r="F34" s="53" t="s">
        <v>196</v>
      </c>
      <c r="G34" s="53" t="s">
        <v>68</v>
      </c>
      <c r="H34" s="53">
        <v>2</v>
      </c>
      <c r="I34" s="53">
        <v>1.234</v>
      </c>
      <c r="J34" s="53">
        <v>1.542</v>
      </c>
      <c r="K34" s="53">
        <v>1.554</v>
      </c>
      <c r="L34" s="53">
        <v>99.23</v>
      </c>
      <c r="M34" s="53">
        <v>99.197999999999993</v>
      </c>
      <c r="N34" s="54" t="s">
        <v>197</v>
      </c>
      <c r="O34" s="53" t="s">
        <v>198</v>
      </c>
      <c r="P34" s="53" t="s">
        <v>71</v>
      </c>
      <c r="Q34" s="53" t="s">
        <v>110</v>
      </c>
      <c r="R34" s="53" t="s">
        <v>111</v>
      </c>
      <c r="S34" s="54">
        <f t="shared" ca="1" si="0"/>
        <v>2.5516769336071183</v>
      </c>
      <c r="T34" s="53">
        <f t="shared" si="2"/>
        <v>99.213999999999999</v>
      </c>
      <c r="U34" s="53">
        <v>33</v>
      </c>
      <c r="V34" s="4">
        <f t="shared" ca="1" si="3"/>
        <v>2.5</v>
      </c>
      <c r="W34" s="51">
        <f t="shared" ca="1" si="4"/>
        <v>1</v>
      </c>
      <c r="X34" s="4">
        <f t="shared" ca="1" si="5"/>
        <v>1.1119560439560439</v>
      </c>
      <c r="Y34" s="4">
        <f t="shared" ca="1" si="6"/>
        <v>98.102043956043957</v>
      </c>
      <c r="Z34">
        <f t="shared" si="7"/>
        <v>1.548</v>
      </c>
    </row>
    <row r="35" spans="1:26" x14ac:dyDescent="0.35">
      <c r="A35" s="53" t="s">
        <v>52</v>
      </c>
      <c r="B35" s="53" t="s">
        <v>74</v>
      </c>
      <c r="C35" s="53" t="s">
        <v>64</v>
      </c>
      <c r="D35" s="53" t="s">
        <v>65</v>
      </c>
      <c r="E35" s="53" t="s">
        <v>66</v>
      </c>
      <c r="F35" s="53" t="s">
        <v>199</v>
      </c>
      <c r="G35" s="53" t="s">
        <v>68</v>
      </c>
      <c r="H35" s="53">
        <v>2</v>
      </c>
      <c r="I35" s="53">
        <v>0.59299999999999997</v>
      </c>
      <c r="J35" s="53">
        <v>1.58</v>
      </c>
      <c r="K35" s="53">
        <v>1.58</v>
      </c>
      <c r="L35" s="53">
        <v>97.546999999999997</v>
      </c>
      <c r="M35" s="53">
        <v>97.546999999999997</v>
      </c>
      <c r="N35" s="54" t="s">
        <v>200</v>
      </c>
      <c r="O35" s="53" t="s">
        <v>201</v>
      </c>
      <c r="P35" s="53" t="s">
        <v>71</v>
      </c>
      <c r="Q35" s="53" t="s">
        <v>78</v>
      </c>
      <c r="R35" s="53" t="s">
        <v>79</v>
      </c>
      <c r="S35" s="54">
        <f t="shared" ca="1" si="0"/>
        <v>2.5407255304585901</v>
      </c>
      <c r="T35" s="53">
        <f t="shared" si="2"/>
        <v>97.546999999999997</v>
      </c>
      <c r="U35" s="53">
        <v>34</v>
      </c>
      <c r="V35" s="4">
        <f t="shared" ca="1" si="3"/>
        <v>2.5</v>
      </c>
      <c r="W35" s="51">
        <f t="shared" ca="1" si="4"/>
        <v>3</v>
      </c>
      <c r="X35" s="4">
        <f t="shared" ca="1" si="5"/>
        <v>0.54738461538461536</v>
      </c>
      <c r="Y35" s="4">
        <f t="shared" ca="1" si="6"/>
        <v>96.999615384615382</v>
      </c>
      <c r="Z35">
        <f t="shared" si="7"/>
        <v>1.58</v>
      </c>
    </row>
    <row r="36" spans="1:26" x14ac:dyDescent="0.35">
      <c r="A36" s="53" t="s">
        <v>53</v>
      </c>
      <c r="B36" s="53" t="s">
        <v>63</v>
      </c>
      <c r="C36" s="53" t="s">
        <v>64</v>
      </c>
      <c r="D36" s="53" t="s">
        <v>65</v>
      </c>
      <c r="E36" s="53" t="s">
        <v>66</v>
      </c>
      <c r="F36" s="53" t="s">
        <v>202</v>
      </c>
      <c r="G36" s="53" t="s">
        <v>68</v>
      </c>
      <c r="H36" s="53">
        <v>2</v>
      </c>
      <c r="I36" s="53">
        <v>0.15</v>
      </c>
      <c r="J36" s="53">
        <v>1.653</v>
      </c>
      <c r="K36" s="53">
        <v>1.665</v>
      </c>
      <c r="L36" s="53">
        <v>95.435000000000002</v>
      </c>
      <c r="M36" s="53">
        <v>95.4</v>
      </c>
      <c r="N36" s="54" t="s">
        <v>203</v>
      </c>
      <c r="O36" s="53" t="s">
        <v>204</v>
      </c>
      <c r="P36" s="53" t="s">
        <v>71</v>
      </c>
      <c r="Q36" s="53" t="s">
        <v>205</v>
      </c>
      <c r="R36" s="53" t="s">
        <v>206</v>
      </c>
      <c r="S36" s="54">
        <f t="shared" ca="1" si="0"/>
        <v>3.1512662559890487</v>
      </c>
      <c r="T36" s="53">
        <f t="shared" si="2"/>
        <v>95.417500000000004</v>
      </c>
      <c r="U36" s="53">
        <v>35</v>
      </c>
      <c r="V36" s="4">
        <f t="shared" ca="1" si="3"/>
        <v>3</v>
      </c>
      <c r="W36" s="51">
        <f t="shared" ca="1" si="4"/>
        <v>7</v>
      </c>
      <c r="X36" s="4">
        <f t="shared" ca="1" si="5"/>
        <v>0.10549450549450549</v>
      </c>
      <c r="Y36" s="4">
        <f t="shared" ca="1" si="6"/>
        <v>95.312005494505499</v>
      </c>
      <c r="Z36">
        <f t="shared" si="7"/>
        <v>1.659</v>
      </c>
    </row>
    <row r="37" spans="1:26" x14ac:dyDescent="0.35">
      <c r="A37" s="53" t="s">
        <v>54</v>
      </c>
      <c r="B37" s="53" t="s">
        <v>74</v>
      </c>
      <c r="C37" s="53" t="s">
        <v>64</v>
      </c>
      <c r="D37" s="53" t="s">
        <v>65</v>
      </c>
      <c r="E37" s="53" t="s">
        <v>66</v>
      </c>
      <c r="F37" s="53" t="s">
        <v>207</v>
      </c>
      <c r="G37" s="53" t="s">
        <v>68</v>
      </c>
      <c r="H37" s="53">
        <v>2</v>
      </c>
      <c r="I37" s="53">
        <v>0.38500000000000001</v>
      </c>
      <c r="J37" s="53">
        <v>1.419</v>
      </c>
      <c r="K37" s="53">
        <v>1.4339999999999999</v>
      </c>
      <c r="L37" s="53">
        <v>98.373999999999995</v>
      </c>
      <c r="M37" s="53">
        <v>98.350999999999999</v>
      </c>
      <c r="N37" s="54" t="s">
        <v>208</v>
      </c>
      <c r="O37" s="53" t="s">
        <v>209</v>
      </c>
      <c r="P37" s="53" t="s">
        <v>71</v>
      </c>
      <c r="Q37" s="53" t="s">
        <v>210</v>
      </c>
      <c r="R37" s="53" t="s">
        <v>211</v>
      </c>
      <c r="S37" s="54">
        <f t="shared" ca="1" si="0"/>
        <v>1.5605749486652978</v>
      </c>
      <c r="T37" s="53">
        <f t="shared" si="2"/>
        <v>98.362499999999997</v>
      </c>
      <c r="U37" s="53">
        <v>36</v>
      </c>
      <c r="V37" s="4">
        <f t="shared" ca="1" si="3"/>
        <v>1.5</v>
      </c>
      <c r="W37" s="51">
        <f t="shared" ca="1" si="4"/>
        <v>4</v>
      </c>
      <c r="X37" s="4">
        <f t="shared" ca="1" si="5"/>
        <v>0.33846153846153848</v>
      </c>
      <c r="Y37" s="4">
        <f t="shared" ca="1" si="6"/>
        <v>98.024038461538453</v>
      </c>
      <c r="Z37">
        <f t="shared" si="7"/>
        <v>1.4264999999999999</v>
      </c>
    </row>
    <row r="38" spans="1:26" x14ac:dyDescent="0.35">
      <c r="A38" s="53" t="s">
        <v>55</v>
      </c>
      <c r="B38" s="53" t="s">
        <v>74</v>
      </c>
      <c r="C38" s="53" t="s">
        <v>64</v>
      </c>
      <c r="D38" s="53" t="s">
        <v>65</v>
      </c>
      <c r="E38" s="53" t="s">
        <v>66</v>
      </c>
      <c r="F38" s="53" t="s">
        <v>212</v>
      </c>
      <c r="G38" s="53" t="s">
        <v>68</v>
      </c>
      <c r="H38" s="53">
        <v>2</v>
      </c>
      <c r="I38" s="53">
        <v>1.089</v>
      </c>
      <c r="J38" s="53">
        <v>1.3959999999999999</v>
      </c>
      <c r="K38" s="53">
        <v>1.411</v>
      </c>
      <c r="L38" s="53">
        <v>99.521000000000001</v>
      </c>
      <c r="M38" s="53">
        <v>99.498000000000005</v>
      </c>
      <c r="N38" s="54" t="s">
        <v>213</v>
      </c>
      <c r="O38" s="53" t="s">
        <v>214</v>
      </c>
      <c r="P38" s="53" t="s">
        <v>71</v>
      </c>
      <c r="Q38" s="53" t="s">
        <v>110</v>
      </c>
      <c r="R38" s="53" t="s">
        <v>111</v>
      </c>
      <c r="S38" s="54">
        <f t="shared" ca="1" si="0"/>
        <v>1.5441478439425051</v>
      </c>
      <c r="T38" s="53">
        <f t="shared" si="2"/>
        <v>99.509500000000003</v>
      </c>
      <c r="U38" s="53">
        <v>37</v>
      </c>
      <c r="V38" s="4">
        <f t="shared" ca="1" si="3"/>
        <v>1.5</v>
      </c>
      <c r="W38" s="51">
        <f t="shared" ca="1" si="4"/>
        <v>1</v>
      </c>
      <c r="X38" s="4">
        <f t="shared" ca="1" si="5"/>
        <v>0.98129670329670327</v>
      </c>
      <c r="Y38" s="4">
        <f t="shared" ca="1" si="6"/>
        <v>98.528203296703296</v>
      </c>
      <c r="Z38">
        <f t="shared" si="7"/>
        <v>1.4035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7FCD5-EC3F-457B-B88C-8721009077C2}">
  <dimension ref="A1:Z327"/>
  <sheetViews>
    <sheetView topLeftCell="K14" zoomScale="90" zoomScaleNormal="130" workbookViewId="0">
      <selection activeCell="T31" sqref="T31"/>
    </sheetView>
  </sheetViews>
  <sheetFormatPr defaultRowHeight="12.75" x14ac:dyDescent="0.35"/>
  <cols>
    <col min="17" max="17" width="9.86328125" style="3" customWidth="1"/>
    <col min="18" max="19" width="10.59765625" bestFit="1" customWidth="1"/>
  </cols>
  <sheetData>
    <row r="1" spans="1:26" x14ac:dyDescent="0.35">
      <c r="A1" t="str" cm="1">
        <f t="array" aca="1" ref="A1:Z1" ca="1">+OFFSET(Offline!A1,,,1,COUNTA(Offline!1:1))</f>
        <v>Instrument</v>
      </c>
      <c r="B1" t="str">
        <f ca="1"/>
        <v>Name</v>
      </c>
      <c r="C1" t="str">
        <f ca="1"/>
        <v>Ticker</v>
      </c>
      <c r="D1" t="str">
        <f ca="1"/>
        <v>Country/Region</v>
      </c>
      <c r="E1" t="str">
        <f ca="1"/>
        <v>Currency</v>
      </c>
      <c r="F1" t="str">
        <f ca="1"/>
        <v>Maturity</v>
      </c>
      <c r="G1" t="str">
        <f ca="1"/>
        <v>Coupon Type</v>
      </c>
      <c r="H1" t="str">
        <f ca="1"/>
        <v>Coupon Frequency</v>
      </c>
      <c r="I1" t="str">
        <f ca="1"/>
        <v>Coupon</v>
      </c>
      <c r="J1" t="str">
        <f ca="1"/>
        <v>Ask Yield to Maturity</v>
      </c>
      <c r="K1" t="str">
        <f ca="1"/>
        <v>Bid Yield to Maturity</v>
      </c>
      <c r="L1" t="str">
        <f ca="1"/>
        <v>Ask Price</v>
      </c>
      <c r="M1" t="str">
        <f ca="1"/>
        <v>Bid Price</v>
      </c>
      <c r="N1" s="4" t="str">
        <f ca="1"/>
        <v>Identifier</v>
      </c>
      <c r="O1" t="str">
        <f ca="1"/>
        <v>ISIN</v>
      </c>
      <c r="P1" t="str">
        <f ca="1"/>
        <v>Bloomberg Composite Rating</v>
      </c>
      <c r="Q1" s="3" t="str">
        <f ca="1"/>
        <v>Announce</v>
      </c>
      <c r="R1" s="1" t="str">
        <f ca="1"/>
        <v>Next Coupon Settle Date</v>
      </c>
      <c r="S1" t="str">
        <f ca="1"/>
        <v>Time</v>
      </c>
      <c r="T1" t="str">
        <f ca="1"/>
        <v>AVG Price</v>
      </c>
      <c r="U1" t="str">
        <f ca="1"/>
        <v>ID</v>
      </c>
      <c r="V1" t="str">
        <f ca="1"/>
        <v>TIMEish</v>
      </c>
      <c r="W1" t="str">
        <f ca="1"/>
        <v>years ago</v>
      </c>
      <c r="X1" t="str">
        <f ca="1"/>
        <v>Accrued Interest</v>
      </c>
      <c r="Y1" t="str">
        <f ca="1"/>
        <v>Clean price</v>
      </c>
      <c r="Z1" t="str">
        <f ca="1"/>
        <v>AVG yield</v>
      </c>
    </row>
    <row r="2" spans="1:26" x14ac:dyDescent="0.35">
      <c r="A2" t="str" cm="1">
        <f t="array" aca="1" ref="A2:Z38" ca="1">_xlfn._xlws.SORT(OFFSET(Offline!A2,,,COUNTA(Offline!A:A)-1,COUNTA(Offline!1:1)),COLUMN(Offline!S1))</f>
        <v>BO356982 Corp</v>
      </c>
      <c r="B2" t="str">
        <f ca="1"/>
        <v>Toyota Motor Corp</v>
      </c>
      <c r="C2" t="str">
        <f ca="1"/>
        <v>TOYOTA</v>
      </c>
      <c r="D2" t="str">
        <f ca="1"/>
        <v>JP</v>
      </c>
      <c r="E2" t="str">
        <f ca="1"/>
        <v>JPY</v>
      </c>
      <c r="F2" t="str">
        <f ca="1"/>
        <v>18/03/2026</v>
      </c>
      <c r="G2" t="str">
        <f ca="1"/>
        <v>FIXED</v>
      </c>
      <c r="H2">
        <f ca="1"/>
        <v>2</v>
      </c>
      <c r="I2">
        <f ca="1"/>
        <v>0.05</v>
      </c>
      <c r="J2">
        <f ca="1"/>
        <v>1.4769999999999999</v>
      </c>
      <c r="K2">
        <f ca="1"/>
        <v>1.4830000000000001</v>
      </c>
      <c r="L2">
        <f ca="1"/>
        <v>99.98</v>
      </c>
      <c r="M2">
        <f ca="1"/>
        <v>99.98</v>
      </c>
      <c r="N2" t="str">
        <f ca="1"/>
        <v>BO3569825</v>
      </c>
      <c r="O2" t="str">
        <f ca="1"/>
        <v>JP363340BM36</v>
      </c>
      <c r="P2" t="str">
        <f ca="1"/>
        <v>A+</v>
      </c>
      <c r="Q2" s="3" t="str">
        <f ca="1"/>
        <v>12/03/2021</v>
      </c>
      <c r="R2" s="4" t="str">
        <f ca="1"/>
        <v>18/03/2026</v>
      </c>
      <c r="S2" s="4">
        <f ca="1"/>
        <v>-3.2854209445585217E-2</v>
      </c>
      <c r="T2">
        <f ca="1"/>
        <v>99.98</v>
      </c>
      <c r="U2">
        <f ca="1"/>
        <v>7</v>
      </c>
      <c r="V2">
        <f ca="1"/>
        <v>0</v>
      </c>
      <c r="W2">
        <f ca="1"/>
        <v>5</v>
      </c>
      <c r="X2">
        <f ca="1"/>
        <v>5.3021978021978028E-2</v>
      </c>
      <c r="Y2">
        <f ca="1"/>
        <v>99.92697802197803</v>
      </c>
      <c r="Z2">
        <f ca="1"/>
        <v>1.48</v>
      </c>
    </row>
    <row r="3" spans="1:26" x14ac:dyDescent="0.35">
      <c r="A3" t="str">
        <f ca="1"/>
        <v>BO356985 Corp</v>
      </c>
      <c r="B3" t="str">
        <f ca="1"/>
        <v>Toyota Motor Corp</v>
      </c>
      <c r="C3" t="str">
        <f ca="1"/>
        <v>TOYOTA</v>
      </c>
      <c r="D3" t="str">
        <f ca="1"/>
        <v>JP</v>
      </c>
      <c r="E3" t="str">
        <f ca="1"/>
        <v>JPY</v>
      </c>
      <c r="F3" t="str">
        <f ca="1"/>
        <v>27/03/2026</v>
      </c>
      <c r="G3" t="str">
        <f ca="1"/>
        <v>FIXED</v>
      </c>
      <c r="H3">
        <f ca="1"/>
        <v>2</v>
      </c>
      <c r="I3">
        <f ca="1"/>
        <v>0.1</v>
      </c>
      <c r="J3">
        <f ca="1"/>
        <v>1.173</v>
      </c>
      <c r="K3">
        <f ca="1"/>
        <v>1.1759999999999999</v>
      </c>
      <c r="L3">
        <f ca="1"/>
        <v>99.957999999999998</v>
      </c>
      <c r="M3">
        <f ca="1"/>
        <v>99.957999999999998</v>
      </c>
      <c r="N3" t="str">
        <f ca="1"/>
        <v>BO3569858</v>
      </c>
      <c r="O3" t="str">
        <f ca="1"/>
        <v>JP363340AM37</v>
      </c>
      <c r="P3" t="str">
        <f ca="1"/>
        <v>#N/A N/A</v>
      </c>
      <c r="Q3" s="3" t="str">
        <f ca="1"/>
        <v>12/03/2021</v>
      </c>
      <c r="R3" s="4" t="str">
        <f ca="1"/>
        <v>27/03/2026</v>
      </c>
      <c r="S3" s="4">
        <f ca="1"/>
        <v>-8.2135523613963042E-3</v>
      </c>
      <c r="T3">
        <f ca="1"/>
        <v>99.957999999999998</v>
      </c>
      <c r="U3">
        <f ca="1"/>
        <v>6</v>
      </c>
      <c r="V3">
        <f ca="1"/>
        <v>0</v>
      </c>
      <c r="W3">
        <f ca="1"/>
        <v>5</v>
      </c>
      <c r="X3">
        <f ca="1"/>
        <v>0.1010989010989011</v>
      </c>
      <c r="Y3">
        <f ca="1"/>
        <v>99.856901098901091</v>
      </c>
      <c r="Z3">
        <f ca="1"/>
        <v>1.1745000000000001</v>
      </c>
    </row>
    <row r="4" spans="1:26" x14ac:dyDescent="0.35">
      <c r="A4" t="str">
        <f ca="1"/>
        <v>BO579315 Corp</v>
      </c>
      <c r="B4" t="str">
        <f ca="1"/>
        <v>Toyota Finance Corp</v>
      </c>
      <c r="C4" t="str">
        <f ca="1"/>
        <v>TOYOTA</v>
      </c>
      <c r="D4" t="str">
        <f ca="1"/>
        <v>JP</v>
      </c>
      <c r="E4" t="str">
        <f ca="1"/>
        <v>JPY</v>
      </c>
      <c r="F4" t="str">
        <f ca="1"/>
        <v>15/04/2026</v>
      </c>
      <c r="G4" t="str">
        <f ca="1"/>
        <v>FIXED</v>
      </c>
      <c r="H4">
        <f ca="1"/>
        <v>2</v>
      </c>
      <c r="I4">
        <f ca="1"/>
        <v>0.06</v>
      </c>
      <c r="J4">
        <f ca="1"/>
        <v>1.099</v>
      </c>
      <c r="K4">
        <f ca="1"/>
        <v>1.1000000000000001</v>
      </c>
      <c r="L4">
        <f ca="1"/>
        <v>99.906000000000006</v>
      </c>
      <c r="M4">
        <f ca="1"/>
        <v>99.906000000000006</v>
      </c>
      <c r="N4" t="str">
        <f ca="1"/>
        <v>BO5793159</v>
      </c>
      <c r="O4" t="str">
        <f ca="1"/>
        <v>JP363360BM49</v>
      </c>
      <c r="P4" t="str">
        <f ca="1"/>
        <v>A+</v>
      </c>
      <c r="Q4" s="3" t="str">
        <f ca="1"/>
        <v>09/04/2021</v>
      </c>
      <c r="R4" s="4" t="str">
        <f ca="1"/>
        <v>15/04/2026</v>
      </c>
      <c r="S4" s="4">
        <f ca="1"/>
        <v>4.380561259411362E-2</v>
      </c>
      <c r="T4">
        <f ca="1"/>
        <v>99.906000000000006</v>
      </c>
      <c r="U4">
        <f ca="1"/>
        <v>31</v>
      </c>
      <c r="V4">
        <f ca="1"/>
        <v>0</v>
      </c>
      <c r="W4">
        <f ca="1"/>
        <v>5</v>
      </c>
      <c r="X4">
        <f ca="1"/>
        <v>5.472527472527472E-2</v>
      </c>
      <c r="Y4">
        <f ca="1"/>
        <v>99.851274725274735</v>
      </c>
      <c r="Z4">
        <f ca="1"/>
        <v>1.0994999999999999</v>
      </c>
    </row>
    <row r="5" spans="1:26" x14ac:dyDescent="0.35">
      <c r="A5" t="str">
        <f ca="1"/>
        <v>LW169500 Corp</v>
      </c>
      <c r="B5" t="str">
        <f ca="1"/>
        <v>Toyota Motor Corp</v>
      </c>
      <c r="C5" t="str">
        <f ca="1"/>
        <v>TOYOTA</v>
      </c>
      <c r="D5" t="str">
        <f ca="1"/>
        <v>JP</v>
      </c>
      <c r="E5" t="str">
        <f ca="1"/>
        <v>JPY</v>
      </c>
      <c r="F5" t="str">
        <f ca="1"/>
        <v>03/06/2026</v>
      </c>
      <c r="G5" t="str">
        <f ca="1"/>
        <v>FIXED</v>
      </c>
      <c r="H5">
        <f ca="1"/>
        <v>2</v>
      </c>
      <c r="I5">
        <f ca="1"/>
        <v>0.09</v>
      </c>
      <c r="J5">
        <f ca="1"/>
        <v>0.86399999999999999</v>
      </c>
      <c r="K5">
        <f ca="1"/>
        <v>1.1339999999999999</v>
      </c>
      <c r="L5">
        <f ca="1"/>
        <v>99.825999999999993</v>
      </c>
      <c r="M5">
        <f ca="1"/>
        <v>99.766000000000005</v>
      </c>
      <c r="N5" t="str">
        <f ca="1"/>
        <v>LW1695003</v>
      </c>
      <c r="O5" t="str">
        <f ca="1"/>
        <v>JP363340AG68</v>
      </c>
      <c r="P5" t="str">
        <f ca="1"/>
        <v>A+</v>
      </c>
      <c r="Q5" s="3" t="str">
        <f ca="1"/>
        <v>27/05/2016</v>
      </c>
      <c r="R5" s="4" t="str">
        <f ca="1"/>
        <v>03/06/2026</v>
      </c>
      <c r="S5" s="4">
        <f ca="1"/>
        <v>0.17796030116358658</v>
      </c>
      <c r="T5">
        <f ca="1"/>
        <v>99.795999999999992</v>
      </c>
      <c r="U5">
        <f ca="1"/>
        <v>3</v>
      </c>
      <c r="V5">
        <f ca="1"/>
        <v>0</v>
      </c>
      <c r="W5">
        <f ca="1"/>
        <v>10</v>
      </c>
      <c r="X5">
        <f ca="1"/>
        <v>5.7857142857142857E-2</v>
      </c>
      <c r="Y5">
        <f ca="1"/>
        <v>99.738142857142847</v>
      </c>
      <c r="Z5">
        <f ca="1"/>
        <v>0.99899999999999989</v>
      </c>
    </row>
    <row r="6" spans="1:26" x14ac:dyDescent="0.35">
      <c r="A6" t="str">
        <f ca="1"/>
        <v>ZI885852 Corp</v>
      </c>
      <c r="B6" t="str">
        <f ca="1"/>
        <v>Toyota Finance Corp</v>
      </c>
      <c r="C6" t="str">
        <f ca="1"/>
        <v>TOYOTA</v>
      </c>
      <c r="D6" t="str">
        <f ca="1"/>
        <v>JP</v>
      </c>
      <c r="E6" t="str">
        <f ca="1"/>
        <v>JPY</v>
      </c>
      <c r="F6" t="str">
        <f ca="1"/>
        <v>13/10/2026</v>
      </c>
      <c r="G6" t="str">
        <f ca="1"/>
        <v>FIXED</v>
      </c>
      <c r="H6">
        <f ca="1"/>
        <v>2</v>
      </c>
      <c r="I6">
        <f ca="1"/>
        <v>0.37</v>
      </c>
      <c r="J6">
        <f ca="1"/>
        <v>1.163</v>
      </c>
      <c r="K6">
        <f ca="1"/>
        <v>1.163</v>
      </c>
      <c r="L6">
        <f ca="1"/>
        <v>99.537999999999997</v>
      </c>
      <c r="M6">
        <f ca="1"/>
        <v>99.537999999999997</v>
      </c>
      <c r="N6" t="str">
        <f ca="1"/>
        <v>ZI8858527</v>
      </c>
      <c r="O6" t="str">
        <f ca="1"/>
        <v>JP363360APA1</v>
      </c>
      <c r="P6" t="str">
        <f ca="1"/>
        <v>A+</v>
      </c>
      <c r="Q6" s="3" t="str">
        <f ca="1"/>
        <v>06/10/2023</v>
      </c>
      <c r="R6" s="4" t="str">
        <f ca="1"/>
        <v>13/04/2026</v>
      </c>
      <c r="S6" s="4">
        <f ca="1"/>
        <v>0.53935660506502392</v>
      </c>
      <c r="T6">
        <f ca="1"/>
        <v>99.537999999999997</v>
      </c>
      <c r="U6">
        <f ca="1"/>
        <v>2</v>
      </c>
      <c r="V6">
        <f ca="1"/>
        <v>0.5</v>
      </c>
      <c r="W6">
        <f ca="1"/>
        <v>3</v>
      </c>
      <c r="X6">
        <f ca="1"/>
        <v>0.34153846153846157</v>
      </c>
      <c r="Y6">
        <f ca="1"/>
        <v>99.196461538461534</v>
      </c>
      <c r="Z6">
        <f ca="1"/>
        <v>1.163</v>
      </c>
    </row>
    <row r="7" spans="1:26" x14ac:dyDescent="0.35">
      <c r="A7" t="str">
        <f ca="1"/>
        <v>YT821868 Corp</v>
      </c>
      <c r="B7" t="str">
        <f ca="1"/>
        <v>Toyota Finance Corp</v>
      </c>
      <c r="C7" t="str">
        <f ca="1"/>
        <v>TOYOTA</v>
      </c>
      <c r="D7" t="str">
        <f ca="1"/>
        <v>JP</v>
      </c>
      <c r="E7" t="str">
        <f ca="1"/>
        <v>JPY</v>
      </c>
      <c r="F7" t="str">
        <f ca="1"/>
        <v>11/12/2026</v>
      </c>
      <c r="G7" t="str">
        <f ca="1"/>
        <v>FIXED</v>
      </c>
      <c r="H7">
        <f ca="1"/>
        <v>2</v>
      </c>
      <c r="I7">
        <f ca="1"/>
        <v>0.77300000000000002</v>
      </c>
      <c r="J7">
        <f ca="1"/>
        <v>1.014</v>
      </c>
      <c r="K7">
        <f ca="1"/>
        <v>1.214</v>
      </c>
      <c r="L7">
        <f ca="1"/>
        <v>99.820999999999998</v>
      </c>
      <c r="M7">
        <f ca="1"/>
        <v>99.673000000000002</v>
      </c>
      <c r="N7" t="str">
        <f ca="1"/>
        <v>YT8218687</v>
      </c>
      <c r="O7" t="str">
        <f ca="1"/>
        <v>JP363360AQQ5</v>
      </c>
      <c r="P7" t="str">
        <f ca="1"/>
        <v>#N/A N/A</v>
      </c>
      <c r="Q7" s="3" t="str">
        <f ca="1"/>
        <v>06/12/2024</v>
      </c>
      <c r="R7" s="4" t="str">
        <f ca="1"/>
        <v>12/06/2026</v>
      </c>
      <c r="S7" s="4">
        <f ca="1"/>
        <v>0.70088980150581792</v>
      </c>
      <c r="T7">
        <f ca="1"/>
        <v>99.747</v>
      </c>
      <c r="U7">
        <f ca="1"/>
        <v>18</v>
      </c>
      <c r="V7">
        <f ca="1"/>
        <v>0.5</v>
      </c>
      <c r="W7">
        <f ca="1"/>
        <v>2</v>
      </c>
      <c r="X7">
        <f ca="1"/>
        <v>0.45870329670329674</v>
      </c>
      <c r="Y7">
        <f ca="1"/>
        <v>99.288296703296709</v>
      </c>
      <c r="Z7">
        <f ca="1"/>
        <v>1.1139999999999999</v>
      </c>
    </row>
    <row r="8" spans="1:26" x14ac:dyDescent="0.35">
      <c r="A8" t="str">
        <f ca="1"/>
        <v>ZD637368 Corp</v>
      </c>
      <c r="B8" t="str">
        <f ca="1"/>
        <v>Toyota Finance Corp</v>
      </c>
      <c r="C8" t="str">
        <f ca="1"/>
        <v>TOYOTA</v>
      </c>
      <c r="D8" t="str">
        <f ca="1"/>
        <v>JP</v>
      </c>
      <c r="E8" t="str">
        <f ca="1"/>
        <v>JPY</v>
      </c>
      <c r="F8" t="str">
        <f ca="1"/>
        <v>09/04/2027</v>
      </c>
      <c r="G8" t="str">
        <f ca="1"/>
        <v>FIXED</v>
      </c>
      <c r="H8">
        <f ca="1"/>
        <v>2</v>
      </c>
      <c r="I8">
        <f ca="1"/>
        <v>0.41399999999999998</v>
      </c>
      <c r="J8">
        <f ca="1"/>
        <v>1.2589999999999999</v>
      </c>
      <c r="K8">
        <f ca="1"/>
        <v>1.2809999999935633</v>
      </c>
      <c r="L8">
        <f ca="1"/>
        <v>99.103999999999999</v>
      </c>
      <c r="M8">
        <f ca="1"/>
        <v>99.081000000000003</v>
      </c>
      <c r="N8" t="str">
        <f ca="1"/>
        <v>ZD6373686</v>
      </c>
      <c r="O8" t="str">
        <f ca="1"/>
        <v>JP363360AQ46</v>
      </c>
      <c r="P8" t="str">
        <f ca="1"/>
        <v>A+</v>
      </c>
      <c r="Q8" s="3" t="str">
        <f ca="1"/>
        <v>05/04/2024</v>
      </c>
      <c r="R8" s="4" t="str">
        <f ca="1"/>
        <v>10/04/2026</v>
      </c>
      <c r="S8" s="4">
        <f ca="1"/>
        <v>1.0266940451745379</v>
      </c>
      <c r="T8">
        <f ca="1"/>
        <v>99.092500000000001</v>
      </c>
      <c r="U8">
        <f ca="1"/>
        <v>26</v>
      </c>
      <c r="V8">
        <f ca="1"/>
        <v>1</v>
      </c>
      <c r="W8">
        <f ca="1"/>
        <v>2</v>
      </c>
      <c r="X8">
        <f ca="1"/>
        <v>0.38897802197802195</v>
      </c>
      <c r="Y8">
        <f ca="1"/>
        <v>98.703521978021982</v>
      </c>
      <c r="Z8">
        <f ca="1"/>
        <v>1.2699999999967817</v>
      </c>
    </row>
    <row r="9" spans="1:26" x14ac:dyDescent="0.35">
      <c r="A9" t="str">
        <f ca="1"/>
        <v>AN666209 Corp</v>
      </c>
      <c r="B9" t="str">
        <f ca="1"/>
        <v>Toyota Motor Corp</v>
      </c>
      <c r="C9" t="str">
        <f ca="1"/>
        <v>TOYOTA</v>
      </c>
      <c r="D9" t="str">
        <f ca="1"/>
        <v>JP</v>
      </c>
      <c r="E9" t="str">
        <f ca="1"/>
        <v>JPY</v>
      </c>
      <c r="F9" t="str">
        <f ca="1"/>
        <v>02/06/2027</v>
      </c>
      <c r="G9" t="str">
        <f ca="1"/>
        <v>FIXED</v>
      </c>
      <c r="H9">
        <f ca="1"/>
        <v>2</v>
      </c>
      <c r="I9">
        <f ca="1"/>
        <v>0.22</v>
      </c>
      <c r="J9">
        <f ca="1"/>
        <v>1.274</v>
      </c>
      <c r="K9">
        <f ca="1"/>
        <v>1.292</v>
      </c>
      <c r="L9">
        <f ca="1"/>
        <v>98.73</v>
      </c>
      <c r="M9">
        <f ca="1"/>
        <v>98.709000000000003</v>
      </c>
      <c r="N9" t="str">
        <f ca="1"/>
        <v>AN6662091</v>
      </c>
      <c r="O9" t="str">
        <f ca="1"/>
        <v>JP363340CH65</v>
      </c>
      <c r="P9" t="str">
        <f ca="1"/>
        <v>A+</v>
      </c>
      <c r="Q9" s="3" t="str">
        <f ca="1"/>
        <v>26/05/2017</v>
      </c>
      <c r="R9" s="4" t="str">
        <f ca="1"/>
        <v>02/06/2026</v>
      </c>
      <c r="S9" s="4">
        <f ca="1"/>
        <v>1.1745379876796715</v>
      </c>
      <c r="T9">
        <f ca="1"/>
        <v>98.719500000000011</v>
      </c>
      <c r="U9">
        <f ca="1"/>
        <v>15</v>
      </c>
      <c r="V9">
        <f ca="1"/>
        <v>1</v>
      </c>
      <c r="W9">
        <f ca="1"/>
        <v>9</v>
      </c>
      <c r="X9">
        <f ca="1"/>
        <v>0.14263736263736265</v>
      </c>
      <c r="Y9">
        <f ca="1"/>
        <v>98.576862637362652</v>
      </c>
      <c r="Z9">
        <f ca="1"/>
        <v>1.2829999999999999</v>
      </c>
    </row>
    <row r="10" spans="1:26" x14ac:dyDescent="0.35">
      <c r="A10" t="str">
        <f ca="1"/>
        <v>BW601098 Corp</v>
      </c>
      <c r="B10" t="str">
        <f ca="1"/>
        <v>Toyota Motor Corp</v>
      </c>
      <c r="C10" t="str">
        <f ca="1"/>
        <v>TOYOTA</v>
      </c>
      <c r="D10" t="str">
        <f ca="1"/>
        <v>JP</v>
      </c>
      <c r="E10" t="str">
        <f ca="1"/>
        <v>JPY</v>
      </c>
      <c r="F10" t="str">
        <f ca="1"/>
        <v>02/06/2027</v>
      </c>
      <c r="G10" t="str">
        <f ca="1"/>
        <v>FIXED</v>
      </c>
      <c r="H10">
        <f ca="1"/>
        <v>2</v>
      </c>
      <c r="I10">
        <f ca="1"/>
        <v>0.11</v>
      </c>
      <c r="J10">
        <f ca="1"/>
        <v>1.2730000000000001</v>
      </c>
      <c r="K10">
        <f ca="1"/>
        <v>1.2909999999999999</v>
      </c>
      <c r="L10">
        <f ca="1"/>
        <v>98.599000000000004</v>
      </c>
      <c r="M10">
        <f ca="1"/>
        <v>98.578000000000003</v>
      </c>
      <c r="N10" t="str">
        <f ca="1"/>
        <v>BW6010985</v>
      </c>
      <c r="O10" t="str">
        <f ca="1"/>
        <v>JP363340AN69</v>
      </c>
      <c r="P10" t="str">
        <f ca="1"/>
        <v>A+</v>
      </c>
      <c r="Q10" s="3" t="str">
        <f ca="1"/>
        <v>27/05/2022</v>
      </c>
      <c r="R10" s="4" t="str">
        <f ca="1"/>
        <v>02/06/2026</v>
      </c>
      <c r="S10" s="4">
        <f ca="1"/>
        <v>1.1745379876796715</v>
      </c>
      <c r="T10">
        <f ca="1"/>
        <v>98.58850000000001</v>
      </c>
      <c r="U10">
        <f ca="1"/>
        <v>32</v>
      </c>
      <c r="V10">
        <f ca="1"/>
        <v>1</v>
      </c>
      <c r="W10">
        <f ca="1"/>
        <v>4</v>
      </c>
      <c r="X10">
        <f ca="1"/>
        <v>7.1318681318681326E-2</v>
      </c>
      <c r="Y10">
        <f ca="1"/>
        <v>98.517181318681324</v>
      </c>
      <c r="Z10">
        <f ca="1"/>
        <v>1.282</v>
      </c>
    </row>
    <row r="11" spans="1:26" x14ac:dyDescent="0.35">
      <c r="A11" t="str">
        <f ca="1"/>
        <v>YN599739 Corp</v>
      </c>
      <c r="B11" t="str">
        <f ca="1"/>
        <v>Toyota Finance Corp</v>
      </c>
      <c r="C11" t="str">
        <f ca="1"/>
        <v>TOYOTA</v>
      </c>
      <c r="D11" t="str">
        <f ca="1"/>
        <v>JP</v>
      </c>
      <c r="E11" t="str">
        <f ca="1"/>
        <v>JPY</v>
      </c>
      <c r="F11" t="str">
        <f ca="1"/>
        <v>22/07/2027</v>
      </c>
      <c r="G11" t="str">
        <f ca="1"/>
        <v>FIXED</v>
      </c>
      <c r="H11">
        <f ca="1"/>
        <v>2</v>
      </c>
      <c r="I11">
        <f ca="1"/>
        <v>0.96599999999999997</v>
      </c>
      <c r="J11">
        <f ca="1"/>
        <v>1.34</v>
      </c>
      <c r="K11">
        <f ca="1"/>
        <v>1.3540000000000001</v>
      </c>
      <c r="L11">
        <f ca="1"/>
        <v>99.5</v>
      </c>
      <c r="M11">
        <f ca="1"/>
        <v>99.481999999999999</v>
      </c>
      <c r="N11" t="str">
        <f ca="1"/>
        <v>YN5997393</v>
      </c>
      <c r="O11" t="str">
        <f ca="1"/>
        <v>JP363360AR78</v>
      </c>
      <c r="P11" t="str">
        <f ca="1"/>
        <v>A+</v>
      </c>
      <c r="Q11" s="3" t="str">
        <f ca="1"/>
        <v>15/07/2025</v>
      </c>
      <c r="R11" s="4" t="str">
        <f ca="1"/>
        <v>22/07/2026</v>
      </c>
      <c r="S11" s="4">
        <f ca="1"/>
        <v>1.3114305270362765</v>
      </c>
      <c r="T11">
        <f ca="1"/>
        <v>99.491</v>
      </c>
      <c r="U11">
        <f ca="1"/>
        <v>11</v>
      </c>
      <c r="V11">
        <f ca="1"/>
        <v>1</v>
      </c>
      <c r="W11">
        <f ca="1"/>
        <v>1</v>
      </c>
      <c r="X11">
        <f ca="1"/>
        <v>0.35561538461538461</v>
      </c>
      <c r="Y11">
        <f ca="1"/>
        <v>99.135384615384609</v>
      </c>
      <c r="Z11">
        <f ca="1"/>
        <v>1.347</v>
      </c>
    </row>
    <row r="12" spans="1:26" x14ac:dyDescent="0.35">
      <c r="A12" t="str">
        <f ca="1"/>
        <v>AO295977 Corp</v>
      </c>
      <c r="B12" t="str">
        <f ca="1"/>
        <v>Toyota Finance Corp</v>
      </c>
      <c r="C12" t="str">
        <f ca="1"/>
        <v>TOYOTA</v>
      </c>
      <c r="D12" t="str">
        <f ca="1"/>
        <v>JP</v>
      </c>
      <c r="E12" t="str">
        <f ca="1"/>
        <v>JPY</v>
      </c>
      <c r="F12" t="str">
        <f ca="1"/>
        <v>23/07/2027</v>
      </c>
      <c r="G12" t="str">
        <f ca="1"/>
        <v>FIXED</v>
      </c>
      <c r="H12">
        <f ca="1"/>
        <v>2</v>
      </c>
      <c r="I12">
        <f ca="1"/>
        <v>0.26500000000000001</v>
      </c>
      <c r="J12">
        <f ca="1"/>
        <v>1.3460000000000001</v>
      </c>
      <c r="K12">
        <f ca="1"/>
        <v>1.3599999999999999</v>
      </c>
      <c r="L12">
        <f ca="1"/>
        <v>98.552999999999997</v>
      </c>
      <c r="M12">
        <f ca="1"/>
        <v>98.534000000000006</v>
      </c>
      <c r="N12" t="str">
        <f ca="1"/>
        <v>AO2959770</v>
      </c>
      <c r="O12" t="str">
        <f ca="1"/>
        <v>JP363360CH78</v>
      </c>
      <c r="P12" t="str">
        <f ca="1"/>
        <v>A+</v>
      </c>
      <c r="Q12" s="3" t="str">
        <f ca="1"/>
        <v>14/07/2017</v>
      </c>
      <c r="R12" s="4" t="str">
        <f ca="1"/>
        <v>24/07/2026</v>
      </c>
      <c r="S12" s="4">
        <f ca="1"/>
        <v>1.3141683778234086</v>
      </c>
      <c r="T12">
        <f ca="1"/>
        <v>98.543499999999995</v>
      </c>
      <c r="U12">
        <f ca="1"/>
        <v>29</v>
      </c>
      <c r="V12">
        <f ca="1"/>
        <v>1</v>
      </c>
      <c r="W12">
        <f ca="1"/>
        <v>9</v>
      </c>
      <c r="X12">
        <f ca="1"/>
        <v>9.4642857142857154E-2</v>
      </c>
      <c r="Y12">
        <f ca="1"/>
        <v>98.448857142857136</v>
      </c>
      <c r="Z12">
        <f ca="1"/>
        <v>1.353</v>
      </c>
    </row>
    <row r="13" spans="1:26" x14ac:dyDescent="0.35">
      <c r="A13" t="str">
        <f ca="1"/>
        <v>YV792963 Corp</v>
      </c>
      <c r="B13" t="str">
        <f ca="1"/>
        <v>Toyota Finance Corp</v>
      </c>
      <c r="C13" t="str">
        <f ca="1"/>
        <v>TOYOTA</v>
      </c>
      <c r="D13" t="str">
        <f ca="1"/>
        <v>JP</v>
      </c>
      <c r="E13" t="str">
        <f ca="1"/>
        <v>JPY</v>
      </c>
      <c r="F13" t="str">
        <f ca="1"/>
        <v>08/10/2027</v>
      </c>
      <c r="G13" t="str">
        <f ca="1"/>
        <v>FIXED</v>
      </c>
      <c r="H13">
        <f ca="1"/>
        <v>2</v>
      </c>
      <c r="I13">
        <f ca="1"/>
        <v>0.57299999999999995</v>
      </c>
      <c r="J13">
        <f ca="1"/>
        <v>1.4060000000000001</v>
      </c>
      <c r="K13">
        <f ca="1"/>
        <v>1.421</v>
      </c>
      <c r="L13">
        <f ca="1"/>
        <v>98.715999999999994</v>
      </c>
      <c r="M13">
        <f ca="1"/>
        <v>98.694000000000003</v>
      </c>
      <c r="N13" t="str">
        <f ca="1"/>
        <v>YV7929636</v>
      </c>
      <c r="O13" t="str">
        <f ca="1"/>
        <v>JP363360AQA9</v>
      </c>
      <c r="P13" t="str">
        <f ca="1"/>
        <v>A+</v>
      </c>
      <c r="Q13" s="3" t="str">
        <f ca="1"/>
        <v>04/10/2024</v>
      </c>
      <c r="R13" s="4" t="str">
        <f ca="1"/>
        <v>10/04/2026</v>
      </c>
      <c r="S13" s="4">
        <f ca="1"/>
        <v>1.5249828884325805</v>
      </c>
      <c r="T13">
        <f ca="1"/>
        <v>98.704999999999998</v>
      </c>
      <c r="U13">
        <f ca="1"/>
        <v>24</v>
      </c>
      <c r="V13">
        <f ca="1"/>
        <v>1.5</v>
      </c>
      <c r="W13">
        <f ca="1"/>
        <v>2</v>
      </c>
      <c r="X13">
        <f ca="1"/>
        <v>0.53836813186813182</v>
      </c>
      <c r="Y13">
        <f ca="1"/>
        <v>98.166631868131873</v>
      </c>
      <c r="Z13">
        <f ca="1"/>
        <v>1.4135</v>
      </c>
    </row>
    <row r="14" spans="1:26" x14ac:dyDescent="0.35">
      <c r="A14" t="str">
        <f ca="1"/>
        <v>YK172992 Corp</v>
      </c>
      <c r="B14" t="str">
        <f ca="1"/>
        <v>Toyota Finance Corp</v>
      </c>
      <c r="C14" t="str">
        <f ca="1"/>
        <v>TOYOTA</v>
      </c>
      <c r="D14" t="str">
        <f ca="1"/>
        <v>JP</v>
      </c>
      <c r="E14" t="str">
        <f ca="1"/>
        <v>JPY</v>
      </c>
      <c r="F14" t="str">
        <f ca="1"/>
        <v>15/10/2027</v>
      </c>
      <c r="G14" t="str">
        <f ca="1"/>
        <v>FIXED</v>
      </c>
      <c r="H14">
        <f ca="1"/>
        <v>2</v>
      </c>
      <c r="I14">
        <f ca="1"/>
        <v>1.089</v>
      </c>
      <c r="J14">
        <f ca="1"/>
        <v>1.3959999999999999</v>
      </c>
      <c r="K14">
        <f ca="1"/>
        <v>1.411</v>
      </c>
      <c r="L14">
        <f ca="1"/>
        <v>99.521000000000001</v>
      </c>
      <c r="M14">
        <f ca="1"/>
        <v>99.498000000000005</v>
      </c>
      <c r="N14" t="str">
        <f ca="1"/>
        <v>YK1729929</v>
      </c>
      <c r="O14" t="str">
        <f ca="1"/>
        <v>JP363360CRA3</v>
      </c>
      <c r="P14" t="str">
        <f ca="1"/>
        <v>A+</v>
      </c>
      <c r="Q14" s="3" t="str">
        <f ca="1"/>
        <v>10/10/2025</v>
      </c>
      <c r="R14" s="4" t="str">
        <f ca="1"/>
        <v>17/04/2026</v>
      </c>
      <c r="S14" s="4">
        <f ca="1"/>
        <v>1.5441478439425051</v>
      </c>
      <c r="T14">
        <f ca="1"/>
        <v>99.509500000000003</v>
      </c>
      <c r="U14">
        <f ca="1"/>
        <v>37</v>
      </c>
      <c r="V14">
        <f ca="1"/>
        <v>1.5</v>
      </c>
      <c r="W14">
        <f ca="1"/>
        <v>1</v>
      </c>
      <c r="X14">
        <f ca="1"/>
        <v>0.98129670329670327</v>
      </c>
      <c r="Y14">
        <f ca="1"/>
        <v>98.528203296703296</v>
      </c>
      <c r="Z14">
        <f ca="1"/>
        <v>1.4035</v>
      </c>
    </row>
    <row r="15" spans="1:26" x14ac:dyDescent="0.35">
      <c r="A15" t="str">
        <f ca="1"/>
        <v>BZ742454 Corp</v>
      </c>
      <c r="B15" t="str">
        <f ca="1"/>
        <v>Toyota Finance Corp</v>
      </c>
      <c r="C15" t="str">
        <f ca="1"/>
        <v>TOYOTA</v>
      </c>
      <c r="D15" t="str">
        <f ca="1"/>
        <v>JP</v>
      </c>
      <c r="E15" t="str">
        <f ca="1"/>
        <v>JPY</v>
      </c>
      <c r="F15" t="str">
        <f ca="1"/>
        <v>21/10/2027</v>
      </c>
      <c r="G15" t="str">
        <f ca="1"/>
        <v>FIXED</v>
      </c>
      <c r="H15">
        <f ca="1"/>
        <v>2</v>
      </c>
      <c r="I15">
        <f ca="1"/>
        <v>0.38500000000000001</v>
      </c>
      <c r="J15">
        <f ca="1"/>
        <v>1.419</v>
      </c>
      <c r="K15">
        <f ca="1"/>
        <v>1.4339999999999999</v>
      </c>
      <c r="L15">
        <f ca="1"/>
        <v>98.373999999999995</v>
      </c>
      <c r="M15">
        <f ca="1"/>
        <v>98.350999999999999</v>
      </c>
      <c r="N15" t="str">
        <f ca="1"/>
        <v>BZ7424543</v>
      </c>
      <c r="O15" t="str">
        <f ca="1"/>
        <v>JP363360BNA4</v>
      </c>
      <c r="P15" t="str">
        <f ca="1"/>
        <v>A+</v>
      </c>
      <c r="Q15" s="3" t="str">
        <f ca="1"/>
        <v>14/10/2022</v>
      </c>
      <c r="R15" s="4" t="str">
        <f ca="1"/>
        <v>21/04/2026</v>
      </c>
      <c r="S15" s="4">
        <f ca="1"/>
        <v>1.5605749486652978</v>
      </c>
      <c r="T15">
        <f ca="1"/>
        <v>98.362499999999997</v>
      </c>
      <c r="U15">
        <f ca="1"/>
        <v>36</v>
      </c>
      <c r="V15">
        <f ca="1"/>
        <v>1.5</v>
      </c>
      <c r="W15">
        <f ca="1"/>
        <v>4</v>
      </c>
      <c r="X15">
        <f ca="1"/>
        <v>0.33846153846153848</v>
      </c>
      <c r="Y15">
        <f ca="1"/>
        <v>98.024038461538453</v>
      </c>
      <c r="Z15">
        <f ca="1"/>
        <v>1.4264999999999999</v>
      </c>
    </row>
    <row r="16" spans="1:26" x14ac:dyDescent="0.35">
      <c r="A16" t="str">
        <f ca="1"/>
        <v>AP577034 Corp</v>
      </c>
      <c r="B16" t="str">
        <f ca="1"/>
        <v>Toyota Finance Corp</v>
      </c>
      <c r="C16" t="str">
        <f ca="1"/>
        <v>TOYOTA</v>
      </c>
      <c r="D16" t="str">
        <f ca="1"/>
        <v>JP</v>
      </c>
      <c r="E16" t="str">
        <f ca="1"/>
        <v>JPY</v>
      </c>
      <c r="F16" t="str">
        <f ca="1"/>
        <v>22/10/2027</v>
      </c>
      <c r="G16" t="str">
        <f ca="1"/>
        <v>FIXED</v>
      </c>
      <c r="H16">
        <f ca="1"/>
        <v>2</v>
      </c>
      <c r="I16">
        <f ca="1"/>
        <v>0.26500000000000001</v>
      </c>
      <c r="J16">
        <f ca="1"/>
        <v>1.4179999999999999</v>
      </c>
      <c r="K16">
        <f ca="1"/>
        <v>1.4330000000000001</v>
      </c>
      <c r="L16">
        <f ca="1"/>
        <v>98.183999999999997</v>
      </c>
      <c r="M16">
        <f ca="1"/>
        <v>98.16</v>
      </c>
      <c r="N16" t="str">
        <f ca="1"/>
        <v>AP5770346</v>
      </c>
      <c r="O16" t="str">
        <f ca="1"/>
        <v>JP363360CHA4</v>
      </c>
      <c r="P16" t="str">
        <f ca="1"/>
        <v>A+</v>
      </c>
      <c r="Q16" s="3" t="str">
        <f ca="1"/>
        <v>13/10/2017</v>
      </c>
      <c r="R16" s="4" t="str">
        <f ca="1"/>
        <v>24/04/2026</v>
      </c>
      <c r="S16" s="4">
        <f ca="1"/>
        <v>1.5633127994524298</v>
      </c>
      <c r="T16">
        <f ca="1"/>
        <v>98.171999999999997</v>
      </c>
      <c r="U16">
        <f ca="1"/>
        <v>20</v>
      </c>
      <c r="V16">
        <f ca="1"/>
        <v>1.5</v>
      </c>
      <c r="W16">
        <f ca="1"/>
        <v>9</v>
      </c>
      <c r="X16">
        <f ca="1"/>
        <v>0.22859890109890113</v>
      </c>
      <c r="Y16">
        <f ca="1"/>
        <v>97.943401098901091</v>
      </c>
      <c r="Z16">
        <f ca="1"/>
        <v>1.4255</v>
      </c>
    </row>
    <row r="17" spans="1:26" x14ac:dyDescent="0.35">
      <c r="A17" t="str">
        <f ca="1"/>
        <v>YT967931 Corp</v>
      </c>
      <c r="B17" t="str">
        <f ca="1"/>
        <v>Toyota Finance Corp</v>
      </c>
      <c r="C17" t="str">
        <f ca="1"/>
        <v>TOYOTA</v>
      </c>
      <c r="D17" t="str">
        <f ca="1"/>
        <v>JP</v>
      </c>
      <c r="E17" t="str">
        <f ca="1"/>
        <v>JPY</v>
      </c>
      <c r="F17" t="str">
        <f ca="1"/>
        <v>21/01/2028</v>
      </c>
      <c r="G17" t="str">
        <f ca="1"/>
        <v>FIXED</v>
      </c>
      <c r="H17">
        <f ca="1"/>
        <v>2</v>
      </c>
      <c r="I17">
        <f ca="1"/>
        <v>0.9</v>
      </c>
      <c r="J17">
        <f ca="1"/>
        <v>1.452</v>
      </c>
      <c r="K17">
        <f ca="1"/>
        <v>1.464</v>
      </c>
      <c r="L17">
        <f ca="1"/>
        <v>99</v>
      </c>
      <c r="M17">
        <f ca="1"/>
        <v>98.977999999999994</v>
      </c>
      <c r="N17" t="str">
        <f ca="1"/>
        <v>YT9679317</v>
      </c>
      <c r="O17" t="str">
        <f ca="1"/>
        <v>JP363360AR11</v>
      </c>
      <c r="P17" t="str">
        <f ca="1"/>
        <v>A+</v>
      </c>
      <c r="Q17" s="3" t="str">
        <f ca="1"/>
        <v>17/01/2025</v>
      </c>
      <c r="R17" s="4" t="str">
        <f ca="1"/>
        <v>23/07/2026</v>
      </c>
      <c r="S17" s="4">
        <f ca="1"/>
        <v>1.8124572210814511</v>
      </c>
      <c r="T17">
        <f ca="1"/>
        <v>98.989000000000004</v>
      </c>
      <c r="U17">
        <f ca="1"/>
        <v>23</v>
      </c>
      <c r="V17">
        <f ca="1"/>
        <v>1.5</v>
      </c>
      <c r="W17">
        <f ca="1"/>
        <v>1</v>
      </c>
      <c r="X17">
        <f ca="1"/>
        <v>0.32637362637362638</v>
      </c>
      <c r="Y17">
        <f ca="1"/>
        <v>98.662626373626381</v>
      </c>
      <c r="Z17">
        <f ca="1"/>
        <v>1.458</v>
      </c>
    </row>
    <row r="18" spans="1:26" x14ac:dyDescent="0.35">
      <c r="A18" t="str">
        <f ca="1"/>
        <v>ZK701649 Corp</v>
      </c>
      <c r="B18" t="str">
        <f ca="1"/>
        <v>Toyota Motor Corp</v>
      </c>
      <c r="C18" t="str">
        <f ca="1"/>
        <v>TOYOTA</v>
      </c>
      <c r="D18" t="str">
        <f ca="1"/>
        <v>JP</v>
      </c>
      <c r="E18" t="str">
        <f ca="1"/>
        <v>JPY</v>
      </c>
      <c r="F18" t="str">
        <f ca="1"/>
        <v>01/06/2028</v>
      </c>
      <c r="G18" t="str">
        <f ca="1"/>
        <v>FIXED</v>
      </c>
      <c r="H18">
        <f ca="1"/>
        <v>2</v>
      </c>
      <c r="I18">
        <f ca="1"/>
        <v>0.33</v>
      </c>
      <c r="J18">
        <f ca="1"/>
        <v>1.4870000000000001</v>
      </c>
      <c r="K18">
        <f ca="1"/>
        <v>1.4870000000000001</v>
      </c>
      <c r="L18">
        <f ca="1"/>
        <v>97.513999999999996</v>
      </c>
      <c r="M18">
        <f ca="1"/>
        <v>97.513999999999996</v>
      </c>
      <c r="N18" t="str">
        <f ca="1"/>
        <v>ZK7016494</v>
      </c>
      <c r="O18" t="str">
        <f ca="1"/>
        <v>JP363340AP67</v>
      </c>
      <c r="P18" t="str">
        <f ca="1"/>
        <v>A+</v>
      </c>
      <c r="Q18" s="3" t="str">
        <f ca="1"/>
        <v>26/05/2023</v>
      </c>
      <c r="R18" s="4" t="str">
        <f ca="1"/>
        <v>01/06/2026</v>
      </c>
      <c r="S18" s="4">
        <f ca="1"/>
        <v>2.1738535249828885</v>
      </c>
      <c r="T18">
        <f ca="1"/>
        <v>97.513999999999996</v>
      </c>
      <c r="U18">
        <f ca="1"/>
        <v>28</v>
      </c>
      <c r="V18">
        <f ca="1"/>
        <v>2</v>
      </c>
      <c r="W18">
        <f ca="1"/>
        <v>3</v>
      </c>
      <c r="X18">
        <f ca="1"/>
        <v>0.21576923076923077</v>
      </c>
      <c r="Y18">
        <f ca="1"/>
        <v>97.29823076923077</v>
      </c>
      <c r="Z18">
        <f ca="1"/>
        <v>1.4870000000000001</v>
      </c>
    </row>
    <row r="19" spans="1:26" x14ac:dyDescent="0.35">
      <c r="A19" t="str">
        <f ca="1"/>
        <v>YN599935 Corp</v>
      </c>
      <c r="B19" t="str">
        <f ca="1"/>
        <v>Toyota Finance Corp</v>
      </c>
      <c r="C19" t="str">
        <f ca="1"/>
        <v>TOYOTA</v>
      </c>
      <c r="D19" t="str">
        <f ca="1"/>
        <v>JP</v>
      </c>
      <c r="E19" t="str">
        <f ca="1"/>
        <v>JPY</v>
      </c>
      <c r="F19" t="str">
        <f ca="1"/>
        <v>21/07/2028</v>
      </c>
      <c r="G19" t="str">
        <f ca="1"/>
        <v>FIXED</v>
      </c>
      <c r="H19">
        <f ca="1"/>
        <v>2</v>
      </c>
      <c r="I19">
        <f ca="1"/>
        <v>1.0820000000000001</v>
      </c>
      <c r="J19">
        <f ca="1"/>
        <v>1.468</v>
      </c>
      <c r="K19">
        <f ca="1"/>
        <v>1.5209999999999999</v>
      </c>
      <c r="L19">
        <f ca="1"/>
        <v>99.12</v>
      </c>
      <c r="M19">
        <f ca="1"/>
        <v>98.998999999999995</v>
      </c>
      <c r="N19" t="str">
        <f ca="1"/>
        <v>YN5999357</v>
      </c>
      <c r="O19" t="str">
        <f ca="1"/>
        <v>JP363360BR77</v>
      </c>
      <c r="P19" t="str">
        <f ca="1"/>
        <v>A+</v>
      </c>
      <c r="Q19" s="3" t="str">
        <f ca="1"/>
        <v>15/07/2025</v>
      </c>
      <c r="R19" s="4" t="str">
        <f ca="1"/>
        <v>22/07/2026</v>
      </c>
      <c r="S19" s="4">
        <f ca="1"/>
        <v>2.3107460643394937</v>
      </c>
      <c r="T19">
        <f ca="1"/>
        <v>99.0595</v>
      </c>
      <c r="U19">
        <f ca="1"/>
        <v>12</v>
      </c>
      <c r="V19">
        <f ca="1"/>
        <v>2</v>
      </c>
      <c r="W19">
        <f ca="1"/>
        <v>1</v>
      </c>
      <c r="X19">
        <f ca="1"/>
        <v>0.39831868131868137</v>
      </c>
      <c r="Y19">
        <f ca="1"/>
        <v>98.661181318681315</v>
      </c>
      <c r="Z19">
        <f ca="1"/>
        <v>1.4944999999999999</v>
      </c>
    </row>
    <row r="20" spans="1:26" x14ac:dyDescent="0.35">
      <c r="A20" t="str">
        <f ca="1"/>
        <v>ZI885869 Corp</v>
      </c>
      <c r="B20" t="str">
        <f ca="1"/>
        <v>Toyota Finance Corp</v>
      </c>
      <c r="C20" t="str">
        <f ca="1"/>
        <v>TOYOTA</v>
      </c>
      <c r="D20" t="str">
        <f ca="1"/>
        <v>JP</v>
      </c>
      <c r="E20" t="str">
        <f ca="1"/>
        <v>JPY</v>
      </c>
      <c r="F20" t="str">
        <f ca="1"/>
        <v>13/10/2028</v>
      </c>
      <c r="G20" t="str">
        <f ca="1"/>
        <v>FIXED</v>
      </c>
      <c r="H20">
        <f ca="1"/>
        <v>2</v>
      </c>
      <c r="I20">
        <f ca="1"/>
        <v>0.59299999999999997</v>
      </c>
      <c r="J20">
        <f ca="1"/>
        <v>1.58</v>
      </c>
      <c r="K20">
        <f ca="1"/>
        <v>1.58</v>
      </c>
      <c r="L20">
        <f ca="1"/>
        <v>97.546999999999997</v>
      </c>
      <c r="M20">
        <f ca="1"/>
        <v>97.546999999999997</v>
      </c>
      <c r="N20" t="str">
        <f ca="1"/>
        <v>ZI8858691</v>
      </c>
      <c r="O20" t="str">
        <f ca="1"/>
        <v>JP363360BPA9</v>
      </c>
      <c r="P20" t="str">
        <f ca="1"/>
        <v>A+</v>
      </c>
      <c r="Q20" s="3" t="str">
        <f ca="1"/>
        <v>06/10/2023</v>
      </c>
      <c r="R20" s="4" t="str">
        <f ca="1"/>
        <v>13/04/2026</v>
      </c>
      <c r="S20" s="4">
        <f ca="1"/>
        <v>2.5407255304585901</v>
      </c>
      <c r="T20">
        <f ca="1"/>
        <v>97.546999999999997</v>
      </c>
      <c r="U20">
        <f ca="1"/>
        <v>34</v>
      </c>
      <c r="V20">
        <f ca="1"/>
        <v>2.5</v>
      </c>
      <c r="W20">
        <f ca="1"/>
        <v>3</v>
      </c>
      <c r="X20">
        <f ca="1"/>
        <v>0.54738461538461536</v>
      </c>
      <c r="Y20">
        <f ca="1"/>
        <v>96.999615384615382</v>
      </c>
      <c r="Z20">
        <f ca="1"/>
        <v>1.58</v>
      </c>
    </row>
    <row r="21" spans="1:26" x14ac:dyDescent="0.35">
      <c r="A21" t="str">
        <f ca="1"/>
        <v>YK173548 Corp</v>
      </c>
      <c r="B21" t="str">
        <f ca="1"/>
        <v>Toyota Finance Corp</v>
      </c>
      <c r="C21" t="str">
        <f ca="1"/>
        <v>TOYOTA</v>
      </c>
      <c r="D21" t="str">
        <f ca="1"/>
        <v>JP</v>
      </c>
      <c r="E21" t="str">
        <f ca="1"/>
        <v>JPY</v>
      </c>
      <c r="F21" t="str">
        <f ca="1"/>
        <v>17/10/2028</v>
      </c>
      <c r="G21" t="str">
        <f ca="1"/>
        <v>FIXED</v>
      </c>
      <c r="H21">
        <f ca="1"/>
        <v>2</v>
      </c>
      <c r="I21">
        <f ca="1"/>
        <v>1.234</v>
      </c>
      <c r="J21">
        <f ca="1"/>
        <v>1.542</v>
      </c>
      <c r="K21">
        <f ca="1"/>
        <v>1.554</v>
      </c>
      <c r="L21">
        <f ca="1"/>
        <v>99.23</v>
      </c>
      <c r="M21">
        <f ca="1"/>
        <v>99.197999999999993</v>
      </c>
      <c r="N21" t="str">
        <f ca="1"/>
        <v>YK1735488</v>
      </c>
      <c r="O21" t="str">
        <f ca="1"/>
        <v>JP363360DRA1</v>
      </c>
      <c r="P21" t="str">
        <f ca="1"/>
        <v>A+</v>
      </c>
      <c r="Q21" s="3" t="str">
        <f ca="1"/>
        <v>10/10/2025</v>
      </c>
      <c r="R21" s="4" t="str">
        <f ca="1"/>
        <v>17/04/2026</v>
      </c>
      <c r="S21" s="4">
        <f ca="1"/>
        <v>2.5516769336071183</v>
      </c>
      <c r="T21">
        <f ca="1"/>
        <v>99.213999999999999</v>
      </c>
      <c r="U21">
        <f ca="1"/>
        <v>33</v>
      </c>
      <c r="V21">
        <f ca="1"/>
        <v>2.5</v>
      </c>
      <c r="W21">
        <f ca="1"/>
        <v>1</v>
      </c>
      <c r="X21">
        <f ca="1"/>
        <v>1.1119560439560439</v>
      </c>
      <c r="Y21">
        <f ca="1"/>
        <v>98.102043956043957</v>
      </c>
      <c r="Z21">
        <f ca="1"/>
        <v>1.548</v>
      </c>
    </row>
    <row r="22" spans="1:26" x14ac:dyDescent="0.35">
      <c r="A22" t="str">
        <f ca="1"/>
        <v>AU925890 Corp</v>
      </c>
      <c r="B22" t="str">
        <f ca="1"/>
        <v>Toyota Finance Corp</v>
      </c>
      <c r="C22" t="str">
        <f ca="1"/>
        <v>TOYOTA</v>
      </c>
      <c r="D22" t="str">
        <f ca="1"/>
        <v>JP</v>
      </c>
      <c r="E22" t="str">
        <f ca="1"/>
        <v>JPY</v>
      </c>
      <c r="F22" t="str">
        <f ca="1"/>
        <v>23/10/2028</v>
      </c>
      <c r="G22" t="str">
        <f ca="1"/>
        <v>FIXED</v>
      </c>
      <c r="H22">
        <f ca="1"/>
        <v>2</v>
      </c>
      <c r="I22">
        <f ca="1"/>
        <v>0.31900000000000001</v>
      </c>
      <c r="J22">
        <f ca="1"/>
        <v>1.5649999999999999</v>
      </c>
      <c r="K22">
        <f ca="1"/>
        <v>1.579</v>
      </c>
      <c r="L22">
        <f ca="1"/>
        <v>96.870999999999995</v>
      </c>
      <c r="M22">
        <f ca="1"/>
        <v>96.837000000000003</v>
      </c>
      <c r="N22" t="str">
        <f ca="1"/>
        <v>AU9258909</v>
      </c>
      <c r="O22" t="str">
        <f ca="1"/>
        <v>JP363360CJA0</v>
      </c>
      <c r="P22" t="str">
        <f ca="1"/>
        <v>A+</v>
      </c>
      <c r="Q22" s="3" t="str">
        <f ca="1"/>
        <v>10/10/2018</v>
      </c>
      <c r="R22" s="4" t="str">
        <f ca="1"/>
        <v>23/04/2026</v>
      </c>
      <c r="S22" s="4">
        <f ca="1"/>
        <v>2.5681040383299112</v>
      </c>
      <c r="T22">
        <f ca="1"/>
        <v>96.853999999999999</v>
      </c>
      <c r="U22">
        <f ca="1"/>
        <v>30</v>
      </c>
      <c r="V22">
        <f ca="1"/>
        <v>2.5</v>
      </c>
      <c r="W22">
        <f ca="1"/>
        <v>8</v>
      </c>
      <c r="X22">
        <f ca="1"/>
        <v>0.27693406593406594</v>
      </c>
      <c r="Y22">
        <f ca="1"/>
        <v>96.577065934065928</v>
      </c>
      <c r="Z22">
        <f ca="1"/>
        <v>1.5720000000000001</v>
      </c>
    </row>
    <row r="23" spans="1:26" x14ac:dyDescent="0.35">
      <c r="A23" t="str">
        <f ca="1"/>
        <v>DA928584 Corp</v>
      </c>
      <c r="B23" t="str">
        <f ca="1"/>
        <v>Toyota Finance Corp</v>
      </c>
      <c r="C23" t="str">
        <f ca="1"/>
        <v>TOYOTA</v>
      </c>
      <c r="D23" t="str">
        <f ca="1"/>
        <v>JP</v>
      </c>
      <c r="E23" t="str">
        <f ca="1"/>
        <v>JPY</v>
      </c>
      <c r="F23" t="str">
        <f ca="1"/>
        <v>01/12/2028</v>
      </c>
      <c r="G23" t="str">
        <f ca="1"/>
        <v>FIXED</v>
      </c>
      <c r="H23">
        <f ca="1"/>
        <v>2</v>
      </c>
      <c r="I23">
        <f ca="1"/>
        <v>1.35</v>
      </c>
      <c r="J23">
        <f ca="1"/>
        <v>1.407</v>
      </c>
      <c r="K23">
        <f ca="1"/>
        <v>1.607</v>
      </c>
      <c r="L23">
        <f ca="1"/>
        <v>99.849000000000004</v>
      </c>
      <c r="M23">
        <f ca="1"/>
        <v>99.328000000000003</v>
      </c>
      <c r="N23" t="str">
        <f ca="1"/>
        <v>DA9285846</v>
      </c>
      <c r="O23" t="str">
        <f ca="1"/>
        <v>JP363360ARQ3</v>
      </c>
      <c r="P23" t="str">
        <f ca="1"/>
        <v>#N/A N/A</v>
      </c>
      <c r="Q23" s="3" t="str">
        <f ca="1"/>
        <v>27/11/2025</v>
      </c>
      <c r="R23" s="4" t="str">
        <f ca="1"/>
        <v>03/06/2026</v>
      </c>
      <c r="S23" s="4">
        <f ca="1"/>
        <v>2.6748802190280632</v>
      </c>
      <c r="T23">
        <f ca="1"/>
        <v>99.58850000000001</v>
      </c>
      <c r="U23">
        <f ca="1"/>
        <v>8</v>
      </c>
      <c r="V23">
        <f ca="1"/>
        <v>2.5</v>
      </c>
      <c r="W23">
        <f ca="1"/>
        <v>1</v>
      </c>
      <c r="X23">
        <f ca="1"/>
        <v>0.86785714285714299</v>
      </c>
      <c r="Y23">
        <f ca="1"/>
        <v>98.720642857142863</v>
      </c>
      <c r="Z23">
        <f ca="1"/>
        <v>1.5070000000000001</v>
      </c>
    </row>
    <row r="24" spans="1:26" x14ac:dyDescent="0.35">
      <c r="A24" t="str">
        <f ca="1"/>
        <v>ZD637375 Corp</v>
      </c>
      <c r="B24" t="str">
        <f ca="1"/>
        <v>Toyota Finance Corp</v>
      </c>
      <c r="C24" t="str">
        <f ca="1"/>
        <v>TOYOTA</v>
      </c>
      <c r="D24" t="str">
        <f ca="1"/>
        <v>JP</v>
      </c>
      <c r="E24" t="str">
        <f ca="1"/>
        <v>JPY</v>
      </c>
      <c r="F24" t="str">
        <f ca="1"/>
        <v>11/04/2029</v>
      </c>
      <c r="G24" t="str">
        <f ca="1"/>
        <v>FIXED</v>
      </c>
      <c r="H24">
        <f ca="1"/>
        <v>2</v>
      </c>
      <c r="I24">
        <f ca="1"/>
        <v>0.61699999999999999</v>
      </c>
      <c r="J24">
        <f ca="1"/>
        <v>1.651</v>
      </c>
      <c r="K24">
        <f ca="1"/>
        <v>1.663</v>
      </c>
      <c r="L24">
        <f ca="1"/>
        <v>96.968999999999994</v>
      </c>
      <c r="M24">
        <f ca="1"/>
        <v>96.935000000000002</v>
      </c>
      <c r="N24" t="str">
        <f ca="1"/>
        <v>ZD6373751</v>
      </c>
      <c r="O24" t="str">
        <f ca="1"/>
        <v>JP363360BQ45</v>
      </c>
      <c r="P24" t="str">
        <f ca="1"/>
        <v>A+</v>
      </c>
      <c r="Q24" s="3" t="str">
        <f ca="1"/>
        <v>05/04/2024</v>
      </c>
      <c r="R24" s="4" t="str">
        <f ca="1"/>
        <v>10/04/2026</v>
      </c>
      <c r="S24" s="4">
        <f ca="1"/>
        <v>3.0335386721423681</v>
      </c>
      <c r="T24">
        <f ca="1"/>
        <v>96.951999999999998</v>
      </c>
      <c r="U24">
        <f ca="1"/>
        <v>14</v>
      </c>
      <c r="V24">
        <f ca="1"/>
        <v>3</v>
      </c>
      <c r="W24">
        <f ca="1"/>
        <v>2</v>
      </c>
      <c r="X24">
        <f ca="1"/>
        <v>0.57970879120879115</v>
      </c>
      <c r="Y24">
        <f ca="1"/>
        <v>96.372291208791211</v>
      </c>
      <c r="Z24">
        <f ca="1"/>
        <v>1.657</v>
      </c>
    </row>
    <row r="25" spans="1:26" x14ac:dyDescent="0.35">
      <c r="A25" t="str">
        <f ca="1"/>
        <v>ZS613802 Corp</v>
      </c>
      <c r="B25" t="str">
        <f ca="1"/>
        <v>Toyota Motor Corp</v>
      </c>
      <c r="C25" t="str">
        <f ca="1"/>
        <v>TOYOTA</v>
      </c>
      <c r="D25" t="str">
        <f ca="1"/>
        <v>JP</v>
      </c>
      <c r="E25" t="str">
        <f ca="1"/>
        <v>JPY</v>
      </c>
      <c r="F25" t="str">
        <f ca="1"/>
        <v>24/05/2029</v>
      </c>
      <c r="G25" t="str">
        <f ca="1"/>
        <v>FIXED</v>
      </c>
      <c r="H25">
        <f ca="1"/>
        <v>2</v>
      </c>
      <c r="I25">
        <f ca="1"/>
        <v>0.15</v>
      </c>
      <c r="J25">
        <f ca="1"/>
        <v>1.653</v>
      </c>
      <c r="K25">
        <f ca="1"/>
        <v>1.665</v>
      </c>
      <c r="L25">
        <f ca="1"/>
        <v>95.435000000000002</v>
      </c>
      <c r="M25">
        <f ca="1"/>
        <v>95.4</v>
      </c>
      <c r="N25" t="str">
        <f ca="1"/>
        <v>ZS6138029</v>
      </c>
      <c r="O25" t="str">
        <f ca="1"/>
        <v>JP363340BK53</v>
      </c>
      <c r="P25" t="str">
        <f ca="1"/>
        <v>A+</v>
      </c>
      <c r="Q25" s="3" t="str">
        <f ca="1"/>
        <v>17/05/2019</v>
      </c>
      <c r="R25" s="4" t="str">
        <f ca="1"/>
        <v>22/05/2026</v>
      </c>
      <c r="S25" s="4">
        <f ca="1"/>
        <v>3.1512662559890487</v>
      </c>
      <c r="T25">
        <f ca="1"/>
        <v>95.417500000000004</v>
      </c>
      <c r="U25">
        <f ca="1"/>
        <v>35</v>
      </c>
      <c r="V25">
        <f ca="1"/>
        <v>3</v>
      </c>
      <c r="W25">
        <f ca="1"/>
        <v>7</v>
      </c>
      <c r="X25">
        <f ca="1"/>
        <v>0.10549450549450549</v>
      </c>
      <c r="Y25">
        <f ca="1"/>
        <v>95.312005494505499</v>
      </c>
      <c r="Z25">
        <f ca="1"/>
        <v>1.659</v>
      </c>
    </row>
    <row r="26" spans="1:26" x14ac:dyDescent="0.35">
      <c r="A26" t="str">
        <f ca="1"/>
        <v>YV793180 Corp</v>
      </c>
      <c r="B26" t="str">
        <f ca="1"/>
        <v>Toyota Finance Corp</v>
      </c>
      <c r="C26" t="str">
        <f ca="1"/>
        <v>TOYOTA</v>
      </c>
      <c r="D26" t="str">
        <f ca="1"/>
        <v>JP</v>
      </c>
      <c r="E26" t="str">
        <f ca="1"/>
        <v>JPY</v>
      </c>
      <c r="F26" t="str">
        <f ca="1"/>
        <v>10/10/2029</v>
      </c>
      <c r="G26" t="str">
        <f ca="1"/>
        <v>FIXED</v>
      </c>
      <c r="H26">
        <f ca="1"/>
        <v>2</v>
      </c>
      <c r="I26">
        <f ca="1"/>
        <v>0.71</v>
      </c>
      <c r="J26">
        <f ca="1"/>
        <v>1.77</v>
      </c>
      <c r="K26">
        <f ca="1"/>
        <v>1.77</v>
      </c>
      <c r="L26">
        <f ca="1"/>
        <v>96.433000000000007</v>
      </c>
      <c r="M26">
        <f ca="1"/>
        <v>96.433000000000007</v>
      </c>
      <c r="N26" t="str">
        <f ca="1"/>
        <v>YV7931806</v>
      </c>
      <c r="O26" t="str">
        <f ca="1"/>
        <v>JP363360BQA7</v>
      </c>
      <c r="P26" t="str">
        <f ca="1"/>
        <v>A+</v>
      </c>
      <c r="Q26" s="3" t="str">
        <f ca="1"/>
        <v>04/10/2024</v>
      </c>
      <c r="R26" s="4" t="str">
        <f ca="1"/>
        <v>10/04/2026</v>
      </c>
      <c r="S26" s="4">
        <f ca="1"/>
        <v>3.5318275154004106</v>
      </c>
      <c r="T26">
        <f ca="1"/>
        <v>96.433000000000007</v>
      </c>
      <c r="U26">
        <f ca="1"/>
        <v>25</v>
      </c>
      <c r="V26">
        <f ca="1"/>
        <v>3.5</v>
      </c>
      <c r="W26">
        <f ca="1"/>
        <v>2</v>
      </c>
      <c r="X26">
        <f ca="1"/>
        <v>0.66708791208791207</v>
      </c>
      <c r="Y26">
        <f ca="1"/>
        <v>95.765912087912099</v>
      </c>
      <c r="Z26">
        <f ca="1"/>
        <v>1.77</v>
      </c>
    </row>
    <row r="27" spans="1:26" x14ac:dyDescent="0.35">
      <c r="A27" t="str">
        <f ca="1"/>
        <v>YT968038 Corp</v>
      </c>
      <c r="B27" t="str">
        <f ca="1"/>
        <v>Toyota Finance Corp</v>
      </c>
      <c r="C27" t="str">
        <f ca="1"/>
        <v>TOYOTA</v>
      </c>
      <c r="D27" t="str">
        <f ca="1"/>
        <v>JP</v>
      </c>
      <c r="E27" t="str">
        <f ca="1"/>
        <v>JPY</v>
      </c>
      <c r="F27" t="str">
        <f ca="1"/>
        <v>23/01/2030</v>
      </c>
      <c r="G27" t="str">
        <f ca="1"/>
        <v>FIXED</v>
      </c>
      <c r="H27">
        <f ca="1"/>
        <v>2</v>
      </c>
      <c r="I27">
        <f ca="1"/>
        <v>1.0509999999999999</v>
      </c>
      <c r="J27">
        <f ca="1"/>
        <v>1.8090000000000002</v>
      </c>
      <c r="K27">
        <f ca="1"/>
        <v>1.8090000000000002</v>
      </c>
      <c r="L27">
        <f ca="1"/>
        <v>97.260999999999996</v>
      </c>
      <c r="M27">
        <f ca="1"/>
        <v>97.260999999999996</v>
      </c>
      <c r="N27" t="str">
        <f ca="1"/>
        <v>YT9680380</v>
      </c>
      <c r="O27" t="str">
        <f ca="1"/>
        <v>JP363360BR10</v>
      </c>
      <c r="P27" t="str">
        <f ca="1"/>
        <v>A+</v>
      </c>
      <c r="Q27" s="3" t="str">
        <f ca="1"/>
        <v>17/01/2025</v>
      </c>
      <c r="R27" s="4" t="str">
        <f ca="1"/>
        <v>23/07/2026</v>
      </c>
      <c r="S27" s="4">
        <f ca="1"/>
        <v>3.8193018480492813</v>
      </c>
      <c r="T27">
        <f ca="1"/>
        <v>97.260999999999996</v>
      </c>
      <c r="U27">
        <f ca="1"/>
        <v>19</v>
      </c>
      <c r="V27">
        <f ca="1"/>
        <v>3.5</v>
      </c>
      <c r="W27">
        <f ca="1"/>
        <v>1</v>
      </c>
      <c r="X27">
        <f ca="1"/>
        <v>0.38113186813186811</v>
      </c>
      <c r="Y27">
        <f ca="1"/>
        <v>96.879868131868122</v>
      </c>
      <c r="Z27">
        <f ca="1"/>
        <v>1.8090000000000002</v>
      </c>
    </row>
    <row r="28" spans="1:26" x14ac:dyDescent="0.35">
      <c r="A28" t="str">
        <f ca="1"/>
        <v>YN600126 Corp</v>
      </c>
      <c r="B28" t="str">
        <f ca="1"/>
        <v>Toyota Finance Corp</v>
      </c>
      <c r="C28" t="str">
        <f ca="1"/>
        <v>TOYOTA</v>
      </c>
      <c r="D28" t="str">
        <f ca="1"/>
        <v>JP</v>
      </c>
      <c r="E28" t="str">
        <f ca="1"/>
        <v>JPY</v>
      </c>
      <c r="F28" t="str">
        <f ca="1"/>
        <v>22/07/2030</v>
      </c>
      <c r="G28" t="str">
        <f ca="1"/>
        <v>FIXED</v>
      </c>
      <c r="H28">
        <f ca="1"/>
        <v>2</v>
      </c>
      <c r="I28">
        <f ca="1"/>
        <v>1.3260000000000001</v>
      </c>
      <c r="J28">
        <f ca="1"/>
        <v>1.821</v>
      </c>
      <c r="K28">
        <f ca="1"/>
        <v>1.85</v>
      </c>
      <c r="L28">
        <f ca="1"/>
        <v>98.001000000000005</v>
      </c>
      <c r="M28">
        <f ca="1"/>
        <v>97.885999999999996</v>
      </c>
      <c r="N28" t="str">
        <f ca="1"/>
        <v>YN6001260</v>
      </c>
      <c r="O28" t="str">
        <f ca="1"/>
        <v>JP363360CR76</v>
      </c>
      <c r="P28" t="str">
        <f ca="1"/>
        <v>A+</v>
      </c>
      <c r="Q28" s="3" t="str">
        <f ca="1"/>
        <v>15/07/2025</v>
      </c>
      <c r="R28" s="4" t="str">
        <f ca="1"/>
        <v>22/07/2026</v>
      </c>
      <c r="S28" s="4">
        <f ca="1"/>
        <v>4.3121149897330593</v>
      </c>
      <c r="T28">
        <f ca="1"/>
        <v>97.9435</v>
      </c>
      <c r="U28">
        <f ca="1"/>
        <v>13</v>
      </c>
      <c r="V28">
        <f ca="1"/>
        <v>4</v>
      </c>
      <c r="W28">
        <f ca="1"/>
        <v>1</v>
      </c>
      <c r="X28">
        <f ca="1"/>
        <v>0.48814285714285721</v>
      </c>
      <c r="Y28">
        <f ca="1"/>
        <v>97.455357142857139</v>
      </c>
      <c r="Z28">
        <f ca="1"/>
        <v>1.8355000000000001</v>
      </c>
    </row>
    <row r="29" spans="1:26" x14ac:dyDescent="0.35">
      <c r="A29" t="str">
        <f ca="1"/>
        <v>YL396232 Corp</v>
      </c>
      <c r="B29" t="str">
        <f ca="1"/>
        <v>Toyota Motor Corp</v>
      </c>
      <c r="C29" t="str">
        <f ca="1"/>
        <v>TOYOTA</v>
      </c>
      <c r="D29" t="str">
        <f ca="1"/>
        <v>JP</v>
      </c>
      <c r="E29" t="str">
        <f ca="1"/>
        <v>JPY</v>
      </c>
      <c r="F29" t="str">
        <f ca="1"/>
        <v>04/09/2030</v>
      </c>
      <c r="G29" t="str">
        <f ca="1"/>
        <v>FIXED</v>
      </c>
      <c r="H29">
        <f ca="1"/>
        <v>2</v>
      </c>
      <c r="I29">
        <f ca="1"/>
        <v>1.296</v>
      </c>
      <c r="J29">
        <f ca="1"/>
        <v>1.8380000000000001</v>
      </c>
      <c r="K29">
        <f ca="1"/>
        <v>1.8380000000000001</v>
      </c>
      <c r="L29">
        <f ca="1"/>
        <v>97.756</v>
      </c>
      <c r="M29">
        <f ca="1"/>
        <v>97.756</v>
      </c>
      <c r="N29" t="str">
        <f ca="1"/>
        <v>YL3962328</v>
      </c>
      <c r="O29" t="str">
        <f ca="1"/>
        <v>JP363340BR98</v>
      </c>
      <c r="P29" t="str">
        <f ca="1"/>
        <v>A+</v>
      </c>
      <c r="Q29" s="3" t="str">
        <f ca="1"/>
        <v>29/08/2025</v>
      </c>
      <c r="R29" s="4" t="str">
        <f ca="1"/>
        <v>04/09/2026</v>
      </c>
      <c r="S29" s="4">
        <f ca="1"/>
        <v>4.4325804243668721</v>
      </c>
      <c r="T29">
        <f ca="1"/>
        <v>97.756</v>
      </c>
      <c r="U29">
        <f ca="1"/>
        <v>9</v>
      </c>
      <c r="V29">
        <f ca="1"/>
        <v>4</v>
      </c>
      <c r="W29">
        <f ca="1"/>
        <v>1</v>
      </c>
      <c r="X29">
        <f ca="1"/>
        <v>0.18514285714285714</v>
      </c>
      <c r="Y29">
        <f ca="1"/>
        <v>97.570857142857136</v>
      </c>
      <c r="Z29">
        <f ca="1"/>
        <v>1.8380000000000001</v>
      </c>
    </row>
    <row r="30" spans="1:26" x14ac:dyDescent="0.35">
      <c r="A30" t="str">
        <f ca="1"/>
        <v>YK173563 Corp</v>
      </c>
      <c r="B30" t="str">
        <f ca="1"/>
        <v>Toyota Finance Corp</v>
      </c>
      <c r="C30" t="str">
        <f ca="1"/>
        <v>TOYOTA</v>
      </c>
      <c r="D30" t="str">
        <f ca="1"/>
        <v>JP</v>
      </c>
      <c r="E30" t="str">
        <f ca="1"/>
        <v>JPY</v>
      </c>
      <c r="F30" t="str">
        <f ca="1"/>
        <v>17/10/2030</v>
      </c>
      <c r="G30" t="str">
        <f ca="1"/>
        <v>FIXED</v>
      </c>
      <c r="H30">
        <f ca="1"/>
        <v>2</v>
      </c>
      <c r="I30">
        <f ca="1"/>
        <v>1.4930000000000001</v>
      </c>
      <c r="J30">
        <f ca="1"/>
        <v>1.8879999999999999</v>
      </c>
      <c r="K30">
        <f ca="1"/>
        <v>1.8879999999999999</v>
      </c>
      <c r="L30">
        <f ca="1"/>
        <v>98.328999999999994</v>
      </c>
      <c r="M30">
        <f ca="1"/>
        <v>98.328999999999994</v>
      </c>
      <c r="N30" t="str">
        <f ca="1"/>
        <v>YK1735637</v>
      </c>
      <c r="O30" t="str">
        <f ca="1"/>
        <v>JP363360ARA7</v>
      </c>
      <c r="P30" t="str">
        <f ca="1"/>
        <v>A+</v>
      </c>
      <c r="Q30" s="3" t="str">
        <f ca="1"/>
        <v>10/10/2025</v>
      </c>
      <c r="R30" s="4" t="str">
        <f ca="1"/>
        <v>17/04/2026</v>
      </c>
      <c r="S30" s="4">
        <f ca="1"/>
        <v>4.5503080082135527</v>
      </c>
      <c r="T30">
        <f ca="1"/>
        <v>98.328999999999994</v>
      </c>
      <c r="U30">
        <f ca="1"/>
        <v>10</v>
      </c>
      <c r="V30">
        <f ca="1"/>
        <v>4.5</v>
      </c>
      <c r="W30">
        <f ca="1"/>
        <v>1</v>
      </c>
      <c r="X30">
        <f ca="1"/>
        <v>1.3453406593406594</v>
      </c>
      <c r="Y30">
        <f ca="1"/>
        <v>96.983659340659329</v>
      </c>
      <c r="Z30">
        <f ca="1"/>
        <v>1.8879999999999999</v>
      </c>
    </row>
    <row r="31" spans="1:26" x14ac:dyDescent="0.35">
      <c r="A31" t="str">
        <f ca="1"/>
        <v>BO356983 Corp</v>
      </c>
      <c r="B31" t="str">
        <f ca="1"/>
        <v>Toyota Motor Corp</v>
      </c>
      <c r="C31" t="str">
        <f ca="1"/>
        <v>TOYOTA</v>
      </c>
      <c r="D31" t="str">
        <f ca="1"/>
        <v>JP</v>
      </c>
      <c r="E31" t="str">
        <f ca="1"/>
        <v>JPY</v>
      </c>
      <c r="F31" t="str">
        <f ca="1"/>
        <v>18/03/2031</v>
      </c>
      <c r="G31" t="str">
        <f ca="1"/>
        <v>FIXED</v>
      </c>
      <c r="H31">
        <f ca="1"/>
        <v>2</v>
      </c>
      <c r="I31">
        <f ca="1"/>
        <v>0.219</v>
      </c>
      <c r="J31">
        <f ca="1"/>
        <v>1.982</v>
      </c>
      <c r="K31">
        <f ca="1"/>
        <v>1.982</v>
      </c>
      <c r="L31">
        <f ca="1"/>
        <v>91.959000000000003</v>
      </c>
      <c r="M31">
        <f ca="1"/>
        <v>91.959000000000003</v>
      </c>
      <c r="N31" t="str">
        <f ca="1"/>
        <v>BO3569833</v>
      </c>
      <c r="O31" t="str">
        <f ca="1"/>
        <v>JP363340CM35</v>
      </c>
      <c r="P31" t="str">
        <f ca="1"/>
        <v>A+</v>
      </c>
      <c r="Q31" s="3" t="str">
        <f ca="1"/>
        <v>12/03/2021</v>
      </c>
      <c r="R31" s="4" t="str">
        <f ca="1"/>
        <v>18/03/2026</v>
      </c>
      <c r="S31" s="4">
        <f ca="1"/>
        <v>4.9664613278576315</v>
      </c>
      <c r="T31">
        <f ca="1"/>
        <v>91.959000000000003</v>
      </c>
      <c r="U31">
        <f ca="1"/>
        <v>5</v>
      </c>
      <c r="V31">
        <f ca="1"/>
        <v>4.5</v>
      </c>
      <c r="W31">
        <f ca="1"/>
        <v>5</v>
      </c>
      <c r="X31">
        <f ca="1"/>
        <v>0.23223626373626374</v>
      </c>
      <c r="Y31">
        <f ca="1"/>
        <v>91.726763736263734</v>
      </c>
      <c r="Z31">
        <f ca="1"/>
        <v>1.982</v>
      </c>
    </row>
    <row r="32" spans="1:26" x14ac:dyDescent="0.35">
      <c r="A32" t="str">
        <f ca="1"/>
        <v>YS631917 Corp</v>
      </c>
      <c r="B32" t="str">
        <f ca="1"/>
        <v>Toyota Finance Corp</v>
      </c>
      <c r="C32" t="str">
        <f ca="1"/>
        <v>TOYOTA</v>
      </c>
      <c r="D32" t="str">
        <f ca="1"/>
        <v>JP</v>
      </c>
      <c r="E32" t="str">
        <f ca="1"/>
        <v>JPY</v>
      </c>
      <c r="F32" t="str">
        <f ca="1"/>
        <v>23/01/2032</v>
      </c>
      <c r="G32" t="str">
        <f ca="1"/>
        <v>FIXED</v>
      </c>
      <c r="H32">
        <f ca="1"/>
        <v>2</v>
      </c>
      <c r="I32">
        <f ca="1"/>
        <v>1.18</v>
      </c>
      <c r="J32">
        <f ca="1"/>
        <v>2.0880000000000001</v>
      </c>
      <c r="K32">
        <f ca="1"/>
        <v>2.0880000000000001</v>
      </c>
      <c r="L32">
        <f ca="1"/>
        <v>95.254999999999995</v>
      </c>
      <c r="M32">
        <f ca="1"/>
        <v>95.254999999999995</v>
      </c>
      <c r="N32" t="str">
        <f ca="1"/>
        <v>YS6319174</v>
      </c>
      <c r="O32" t="str">
        <f ca="1"/>
        <v>JP363360CR19</v>
      </c>
      <c r="P32" t="str">
        <f ca="1"/>
        <v>A+</v>
      </c>
      <c r="Q32" s="3" t="str">
        <f ca="1"/>
        <v>17/01/2025</v>
      </c>
      <c r="R32" s="4" t="str">
        <f ca="1"/>
        <v>23/07/2026</v>
      </c>
      <c r="S32" s="4">
        <f ca="1"/>
        <v>5.8179329226557153</v>
      </c>
      <c r="T32">
        <f ca="1"/>
        <v>95.254999999999995</v>
      </c>
      <c r="U32">
        <f ca="1"/>
        <v>16</v>
      </c>
      <c r="V32">
        <f ca="1"/>
        <v>5.5</v>
      </c>
      <c r="W32">
        <f ca="1"/>
        <v>1</v>
      </c>
      <c r="X32">
        <f ca="1"/>
        <v>0.4279120879120879</v>
      </c>
      <c r="Y32">
        <f ca="1"/>
        <v>94.827087912087904</v>
      </c>
      <c r="Z32">
        <f ca="1"/>
        <v>2.0880000000000001</v>
      </c>
    </row>
    <row r="33" spans="1:26" x14ac:dyDescent="0.35">
      <c r="A33" t="str">
        <f ca="1"/>
        <v>BW601183 Corp</v>
      </c>
      <c r="B33" t="str">
        <f ca="1"/>
        <v>Toyota Motor Corp</v>
      </c>
      <c r="C33" t="str">
        <f ca="1"/>
        <v>TOYOTA</v>
      </c>
      <c r="D33" t="str">
        <f ca="1"/>
        <v>JP</v>
      </c>
      <c r="E33" t="str">
        <f ca="1"/>
        <v>JPY</v>
      </c>
      <c r="F33" t="str">
        <f ca="1"/>
        <v>02/06/2032</v>
      </c>
      <c r="G33" t="str">
        <f ca="1"/>
        <v>FIXED</v>
      </c>
      <c r="H33">
        <f ca="1"/>
        <v>2</v>
      </c>
      <c r="I33">
        <f ca="1"/>
        <v>0.32400000000000001</v>
      </c>
      <c r="J33">
        <f ca="1"/>
        <v>2.1549999999999998</v>
      </c>
      <c r="K33">
        <f ca="1"/>
        <v>2.1549999999999998</v>
      </c>
      <c r="L33">
        <f ca="1"/>
        <v>89.953999999999994</v>
      </c>
      <c r="M33">
        <f ca="1"/>
        <v>89.953999999999994</v>
      </c>
      <c r="N33" t="str">
        <f ca="1"/>
        <v>BW6011835</v>
      </c>
      <c r="O33" t="str">
        <f ca="1"/>
        <v>JP363340BN68</v>
      </c>
      <c r="P33" t="str">
        <f ca="1"/>
        <v>A+</v>
      </c>
      <c r="Q33" s="3" t="str">
        <f ca="1"/>
        <v>27/05/2022</v>
      </c>
      <c r="R33" s="4" t="str">
        <f ca="1"/>
        <v>02/06/2026</v>
      </c>
      <c r="S33" s="4">
        <f ca="1"/>
        <v>6.1765913757700206</v>
      </c>
      <c r="T33">
        <f ca="1"/>
        <v>89.953999999999994</v>
      </c>
      <c r="U33">
        <f ca="1"/>
        <v>17</v>
      </c>
      <c r="V33">
        <f ca="1"/>
        <v>6</v>
      </c>
      <c r="W33">
        <f ca="1"/>
        <v>4</v>
      </c>
      <c r="X33">
        <f ca="1"/>
        <v>0.21006593406593407</v>
      </c>
      <c r="Y33">
        <f ca="1"/>
        <v>89.743934065934056</v>
      </c>
      <c r="Z33">
        <f ca="1"/>
        <v>2.1549999999999998</v>
      </c>
    </row>
    <row r="34" spans="1:26" x14ac:dyDescent="0.35">
      <c r="A34" t="str">
        <f ca="1"/>
        <v>YK943560 Corp</v>
      </c>
      <c r="B34" t="str">
        <f ca="1"/>
        <v>Toyota Finance Corp</v>
      </c>
      <c r="C34" t="str">
        <f ca="1"/>
        <v>TOYOTA</v>
      </c>
      <c r="D34" t="str">
        <f ca="1"/>
        <v>JP</v>
      </c>
      <c r="E34" t="str">
        <f ca="1"/>
        <v>JPY</v>
      </c>
      <c r="F34" t="str">
        <f ca="1"/>
        <v>15/10/2032</v>
      </c>
      <c r="G34" t="str">
        <f ca="1"/>
        <v>FIXED</v>
      </c>
      <c r="H34">
        <f ca="1"/>
        <v>2</v>
      </c>
      <c r="I34">
        <f ca="1"/>
        <v>1.708</v>
      </c>
      <c r="J34">
        <f ca="1"/>
        <v>2.1469999999999998</v>
      </c>
      <c r="K34">
        <f ca="1"/>
        <v>2.1469999999999998</v>
      </c>
      <c r="L34">
        <f ca="1"/>
        <v>97.463999999999999</v>
      </c>
      <c r="M34">
        <f ca="1"/>
        <v>97.463999999999999</v>
      </c>
      <c r="N34" t="str">
        <f ca="1"/>
        <v>YK9435602</v>
      </c>
      <c r="O34" t="str">
        <f ca="1"/>
        <v>JP363360BRA5</v>
      </c>
      <c r="P34" t="str">
        <f ca="1"/>
        <v>A+</v>
      </c>
      <c r="Q34" s="3" t="str">
        <f ca="1"/>
        <v>10/10/2025</v>
      </c>
      <c r="R34" s="4" t="str">
        <f ca="1"/>
        <v>17/04/2026</v>
      </c>
      <c r="S34" s="4">
        <f ca="1"/>
        <v>6.5462012320328542</v>
      </c>
      <c r="T34">
        <f ca="1"/>
        <v>97.463999999999999</v>
      </c>
      <c r="U34">
        <f ca="1"/>
        <v>22</v>
      </c>
      <c r="V34">
        <f ca="1"/>
        <v>6.5</v>
      </c>
      <c r="W34">
        <f ca="1"/>
        <v>1</v>
      </c>
      <c r="X34">
        <f ca="1"/>
        <v>1.539076923076923</v>
      </c>
      <c r="Y34">
        <f ca="1"/>
        <v>95.924923076923079</v>
      </c>
      <c r="Z34">
        <f ca="1"/>
        <v>2.1469999999999998</v>
      </c>
    </row>
    <row r="35" spans="1:26" x14ac:dyDescent="0.35">
      <c r="A35" t="str">
        <f ca="1"/>
        <v>ZK701516 Corp</v>
      </c>
      <c r="B35" t="str">
        <f ca="1"/>
        <v>Toyota Motor Corp</v>
      </c>
      <c r="C35" t="str">
        <f ca="1"/>
        <v>TOYOTA</v>
      </c>
      <c r="D35" t="str">
        <f ca="1"/>
        <v>JP</v>
      </c>
      <c r="E35" t="str">
        <f ca="1"/>
        <v>JPY</v>
      </c>
      <c r="F35" t="str">
        <f ca="1"/>
        <v>01/06/2033</v>
      </c>
      <c r="G35" t="str">
        <f ca="1"/>
        <v>FIXED</v>
      </c>
      <c r="H35">
        <f ca="1"/>
        <v>2</v>
      </c>
      <c r="I35">
        <f ca="1"/>
        <v>0.73499999999999999</v>
      </c>
      <c r="J35">
        <f ca="1"/>
        <v>2.2589999999964094</v>
      </c>
      <c r="K35">
        <f ca="1"/>
        <v>2.2589999999964094</v>
      </c>
      <c r="L35">
        <f ca="1"/>
        <v>90.54</v>
      </c>
      <c r="M35">
        <f ca="1"/>
        <v>90.54</v>
      </c>
      <c r="N35" t="str">
        <f ca="1"/>
        <v>ZK7015165</v>
      </c>
      <c r="O35" t="str">
        <f ca="1"/>
        <v>JP363340BP66</v>
      </c>
      <c r="P35" t="str">
        <f ca="1"/>
        <v>A+</v>
      </c>
      <c r="Q35" s="3" t="str">
        <f ca="1"/>
        <v>26/05/2023</v>
      </c>
      <c r="R35" s="4" t="str">
        <f ca="1"/>
        <v>01/06/2026</v>
      </c>
      <c r="S35" s="4">
        <f ca="1"/>
        <v>7.1731690622861057</v>
      </c>
      <c r="T35">
        <f ca="1"/>
        <v>90.54</v>
      </c>
      <c r="U35">
        <f ca="1"/>
        <v>27</v>
      </c>
      <c r="V35">
        <f ca="1"/>
        <v>7</v>
      </c>
      <c r="W35">
        <f ca="1"/>
        <v>3</v>
      </c>
      <c r="X35">
        <f ca="1"/>
        <v>0.48057692307692307</v>
      </c>
      <c r="Y35">
        <f ca="1"/>
        <v>90.059423076923082</v>
      </c>
      <c r="Z35">
        <f ca="1"/>
        <v>2.2589999999964094</v>
      </c>
    </row>
    <row r="36" spans="1:26" x14ac:dyDescent="0.35">
      <c r="A36" t="str">
        <f ca="1"/>
        <v>YL396238 Corp</v>
      </c>
      <c r="B36" t="str">
        <f ca="1"/>
        <v>Toyota Motor Corp</v>
      </c>
      <c r="C36" t="str">
        <f ca="1"/>
        <v>TOYOTA</v>
      </c>
      <c r="D36" t="str">
        <f ca="1"/>
        <v>JP</v>
      </c>
      <c r="E36" t="str">
        <f ca="1"/>
        <v>JPY</v>
      </c>
      <c r="F36" t="str">
        <f ca="1"/>
        <v>04/09/2035</v>
      </c>
      <c r="G36" t="str">
        <f ca="1"/>
        <v>FIXED</v>
      </c>
      <c r="H36">
        <f ca="1"/>
        <v>2</v>
      </c>
      <c r="I36">
        <f ca="1"/>
        <v>1.7929999999999999</v>
      </c>
      <c r="J36">
        <f ca="1"/>
        <v>2.5070000000000001</v>
      </c>
      <c r="K36">
        <f ca="1"/>
        <v>2.5070000000000001</v>
      </c>
      <c r="L36">
        <f ca="1"/>
        <v>94.531000000000006</v>
      </c>
      <c r="M36">
        <f ca="1"/>
        <v>94.531000000000006</v>
      </c>
      <c r="N36" t="str">
        <f ca="1"/>
        <v>YL3962385</v>
      </c>
      <c r="O36" t="str">
        <f ca="1"/>
        <v>JP363340AR99</v>
      </c>
      <c r="P36" t="str">
        <f ca="1"/>
        <v>A+</v>
      </c>
      <c r="Q36" s="3" t="str">
        <f ca="1"/>
        <v>29/08/2025</v>
      </c>
      <c r="R36" s="4" t="str">
        <f ca="1"/>
        <v>04/09/2026</v>
      </c>
      <c r="S36" s="4">
        <f ca="1"/>
        <v>9.4318959616700884</v>
      </c>
      <c r="T36">
        <f ca="1"/>
        <v>94.531000000000006</v>
      </c>
      <c r="U36">
        <f ca="1"/>
        <v>1</v>
      </c>
      <c r="V36">
        <f ca="1"/>
        <v>9</v>
      </c>
      <c r="W36">
        <f ca="1"/>
        <v>1</v>
      </c>
      <c r="X36">
        <f ca="1"/>
        <v>0.25614285714285712</v>
      </c>
      <c r="Y36">
        <f ca="1"/>
        <v>94.274857142857144</v>
      </c>
      <c r="Z36">
        <f ca="1"/>
        <v>2.5070000000000001</v>
      </c>
    </row>
    <row r="37" spans="1:26" x14ac:dyDescent="0.35">
      <c r="A37" t="str">
        <f ca="1"/>
        <v>LW169503 Corp</v>
      </c>
      <c r="B37" t="str">
        <f ca="1"/>
        <v>Toyota Motor Corp</v>
      </c>
      <c r="C37" t="str">
        <f ca="1"/>
        <v>TOYOTA</v>
      </c>
      <c r="D37" t="str">
        <f ca="1"/>
        <v>JP</v>
      </c>
      <c r="E37" t="str">
        <f ca="1"/>
        <v>JPY</v>
      </c>
      <c r="F37" t="str">
        <f ca="1"/>
        <v>03/06/2036</v>
      </c>
      <c r="G37" t="str">
        <f ca="1"/>
        <v>FIXED</v>
      </c>
      <c r="H37">
        <f ca="1"/>
        <v>2</v>
      </c>
      <c r="I37">
        <f ca="1"/>
        <v>0.34300000000000003</v>
      </c>
      <c r="J37">
        <f ca="1"/>
        <v>2.839</v>
      </c>
      <c r="K37">
        <f ca="1"/>
        <v>2.839</v>
      </c>
      <c r="L37">
        <f ca="1"/>
        <v>80.22</v>
      </c>
      <c r="M37">
        <f ca="1"/>
        <v>80.22</v>
      </c>
      <c r="N37" t="str">
        <f ca="1"/>
        <v>LW1695037</v>
      </c>
      <c r="O37" t="str">
        <f ca="1"/>
        <v>JP363340BG67</v>
      </c>
      <c r="P37" t="str">
        <f ca="1"/>
        <v>A+</v>
      </c>
      <c r="Q37" s="3" t="str">
        <f ca="1"/>
        <v>27/05/2016</v>
      </c>
      <c r="R37" s="4" t="str">
        <f ca="1"/>
        <v>03/06/2026</v>
      </c>
      <c r="S37" s="4">
        <f ca="1"/>
        <v>10.179329226557153</v>
      </c>
      <c r="T37">
        <f ca="1"/>
        <v>80.22</v>
      </c>
      <c r="U37">
        <f ca="1"/>
        <v>21</v>
      </c>
      <c r="V37">
        <f ca="1"/>
        <v>10</v>
      </c>
      <c r="W37">
        <f ca="1"/>
        <v>10</v>
      </c>
      <c r="X37">
        <f ca="1"/>
        <v>0.22050000000000003</v>
      </c>
      <c r="Y37">
        <f ca="1"/>
        <v>79.999499999999998</v>
      </c>
      <c r="Z37">
        <f ca="1"/>
        <v>2.839</v>
      </c>
    </row>
    <row r="38" spans="1:26" x14ac:dyDescent="0.35">
      <c r="A38" t="str">
        <f ca="1"/>
        <v>AN666227 Corp</v>
      </c>
      <c r="B38" t="str">
        <f ca="1"/>
        <v>Toyota Motor Corp</v>
      </c>
      <c r="C38" t="str">
        <f ca="1"/>
        <v>TOYOTA</v>
      </c>
      <c r="D38" t="str">
        <f ca="1"/>
        <v>JP</v>
      </c>
      <c r="E38" t="str">
        <f ca="1"/>
        <v>JPY</v>
      </c>
      <c r="F38" t="str">
        <f ca="1"/>
        <v>02/06/2037</v>
      </c>
      <c r="G38" t="str">
        <f ca="1"/>
        <v>FIXED</v>
      </c>
      <c r="H38">
        <f ca="1"/>
        <v>2</v>
      </c>
      <c r="I38">
        <f ca="1"/>
        <v>0.65100000000000002</v>
      </c>
      <c r="J38">
        <f ca="1"/>
        <v>2.9619999999999997</v>
      </c>
      <c r="K38">
        <f ca="1"/>
        <v>2.9619999999999997</v>
      </c>
      <c r="L38">
        <f ca="1"/>
        <v>80.534999999999997</v>
      </c>
      <c r="M38">
        <f ca="1"/>
        <v>80.534999999999997</v>
      </c>
      <c r="N38" t="str">
        <f ca="1"/>
        <v>AN6662273</v>
      </c>
      <c r="O38" t="str">
        <f ca="1"/>
        <v>JP363340DH64</v>
      </c>
      <c r="P38" t="str">
        <f ca="1"/>
        <v>A+</v>
      </c>
      <c r="Q38" s="3" t="str">
        <f ca="1"/>
        <v>26/05/2017</v>
      </c>
      <c r="R38" s="4" t="str">
        <f ca="1"/>
        <v>02/06/2026</v>
      </c>
      <c r="S38" s="4">
        <f ca="1"/>
        <v>11.175906913073238</v>
      </c>
      <c r="T38">
        <f ca="1"/>
        <v>80.534999999999997</v>
      </c>
      <c r="U38">
        <f ca="1"/>
        <v>4</v>
      </c>
      <c r="V38">
        <f ca="1"/>
        <v>11</v>
      </c>
      <c r="W38">
        <f ca="1"/>
        <v>9</v>
      </c>
      <c r="X38">
        <f ca="1"/>
        <v>0.42207692307692313</v>
      </c>
      <c r="Y38">
        <f ca="1"/>
        <v>80.112923076923067</v>
      </c>
      <c r="Z38">
        <f ca="1"/>
        <v>2.9619999999999997</v>
      </c>
    </row>
    <row r="39" spans="1:26" x14ac:dyDescent="0.35">
      <c r="R39" s="4"/>
      <c r="S39" s="4"/>
    </row>
    <row r="40" spans="1:26" x14ac:dyDescent="0.35">
      <c r="R40" s="4"/>
      <c r="S40" s="4"/>
    </row>
    <row r="41" spans="1:26" x14ac:dyDescent="0.35">
      <c r="R41" s="4"/>
      <c r="S41" s="4"/>
    </row>
    <row r="42" spans="1:26" x14ac:dyDescent="0.35">
      <c r="R42" s="4"/>
      <c r="S42" s="4"/>
    </row>
    <row r="43" spans="1:26" x14ac:dyDescent="0.35">
      <c r="R43" s="4"/>
      <c r="S43" s="4"/>
    </row>
    <row r="44" spans="1:26" x14ac:dyDescent="0.35">
      <c r="R44" s="4"/>
      <c r="S44" s="4"/>
    </row>
    <row r="45" spans="1:26" x14ac:dyDescent="0.35">
      <c r="R45" s="4"/>
      <c r="S45" s="4"/>
    </row>
    <row r="46" spans="1:26" x14ac:dyDescent="0.35">
      <c r="R46" s="4"/>
      <c r="S46" s="4"/>
    </row>
    <row r="47" spans="1:26" x14ac:dyDescent="0.35">
      <c r="R47" s="4"/>
      <c r="S47" s="4"/>
    </row>
    <row r="48" spans="1:26" x14ac:dyDescent="0.35">
      <c r="R48" s="4"/>
      <c r="S48" s="4"/>
    </row>
    <row r="49" spans="18:19" x14ac:dyDescent="0.35">
      <c r="R49" s="4"/>
      <c r="S49" s="4"/>
    </row>
    <row r="50" spans="18:19" x14ac:dyDescent="0.35">
      <c r="R50" s="4"/>
      <c r="S50" s="4"/>
    </row>
    <row r="51" spans="18:19" x14ac:dyDescent="0.35">
      <c r="R51" s="4"/>
      <c r="S51" s="4"/>
    </row>
    <row r="52" spans="18:19" x14ac:dyDescent="0.35">
      <c r="R52" s="4"/>
      <c r="S52" s="4"/>
    </row>
    <row r="53" spans="18:19" x14ac:dyDescent="0.35">
      <c r="R53" s="4"/>
      <c r="S53" s="4"/>
    </row>
    <row r="54" spans="18:19" x14ac:dyDescent="0.35">
      <c r="R54" s="4"/>
      <c r="S54" s="4"/>
    </row>
    <row r="55" spans="18:19" x14ac:dyDescent="0.35">
      <c r="R55" s="4"/>
      <c r="S55" s="4"/>
    </row>
    <row r="56" spans="18:19" x14ac:dyDescent="0.35">
      <c r="R56" s="4"/>
      <c r="S56" s="4"/>
    </row>
    <row r="57" spans="18:19" x14ac:dyDescent="0.35">
      <c r="R57" s="4"/>
      <c r="S57" s="4"/>
    </row>
    <row r="58" spans="18:19" x14ac:dyDescent="0.35">
      <c r="R58" s="4"/>
      <c r="S58" s="4"/>
    </row>
    <row r="59" spans="18:19" x14ac:dyDescent="0.35">
      <c r="R59" s="4"/>
      <c r="S59" s="4"/>
    </row>
    <row r="60" spans="18:19" x14ac:dyDescent="0.35">
      <c r="R60" s="4"/>
      <c r="S60" s="4"/>
    </row>
    <row r="61" spans="18:19" x14ac:dyDescent="0.35">
      <c r="R61" s="4"/>
      <c r="S61" s="4"/>
    </row>
    <row r="62" spans="18:19" x14ac:dyDescent="0.35">
      <c r="R62" s="4"/>
      <c r="S62" s="4"/>
    </row>
    <row r="63" spans="18:19" x14ac:dyDescent="0.35">
      <c r="R63" s="4"/>
      <c r="S63" s="4"/>
    </row>
    <row r="64" spans="18:19" x14ac:dyDescent="0.35">
      <c r="R64" s="4"/>
      <c r="S64" s="4"/>
    </row>
    <row r="65" spans="18:19" x14ac:dyDescent="0.35">
      <c r="R65" s="4"/>
      <c r="S65" s="4"/>
    </row>
    <row r="66" spans="18:19" x14ac:dyDescent="0.35">
      <c r="R66" s="4"/>
      <c r="S66" s="4"/>
    </row>
    <row r="67" spans="18:19" x14ac:dyDescent="0.35">
      <c r="R67" s="4"/>
      <c r="S67" s="4"/>
    </row>
    <row r="68" spans="18:19" x14ac:dyDescent="0.35">
      <c r="R68" s="4"/>
      <c r="S68" s="4"/>
    </row>
    <row r="69" spans="18:19" x14ac:dyDescent="0.35">
      <c r="R69" s="4"/>
      <c r="S69" s="4"/>
    </row>
    <row r="70" spans="18:19" x14ac:dyDescent="0.35">
      <c r="R70" s="4"/>
      <c r="S70" s="4"/>
    </row>
    <row r="71" spans="18:19" x14ac:dyDescent="0.35">
      <c r="R71" s="4"/>
      <c r="S71" s="4"/>
    </row>
    <row r="72" spans="18:19" x14ac:dyDescent="0.35">
      <c r="R72" s="4"/>
      <c r="S72" s="4"/>
    </row>
    <row r="73" spans="18:19" x14ac:dyDescent="0.35">
      <c r="R73" s="4"/>
      <c r="S73" s="4"/>
    </row>
    <row r="74" spans="18:19" x14ac:dyDescent="0.35">
      <c r="R74" s="4"/>
      <c r="S74" s="4"/>
    </row>
    <row r="75" spans="18:19" x14ac:dyDescent="0.35">
      <c r="R75" s="4"/>
      <c r="S75" s="4"/>
    </row>
    <row r="76" spans="18:19" x14ac:dyDescent="0.35">
      <c r="R76" s="4"/>
      <c r="S76" s="4"/>
    </row>
    <row r="77" spans="18:19" x14ac:dyDescent="0.35">
      <c r="R77" s="4"/>
      <c r="S77" s="4"/>
    </row>
    <row r="78" spans="18:19" x14ac:dyDescent="0.35">
      <c r="R78" s="4"/>
      <c r="S78" s="4"/>
    </row>
    <row r="79" spans="18:19" x14ac:dyDescent="0.35">
      <c r="R79" s="4"/>
      <c r="S79" s="4"/>
    </row>
    <row r="80" spans="18:19" x14ac:dyDescent="0.35">
      <c r="R80" s="4"/>
      <c r="S80" s="4"/>
    </row>
    <row r="81" spans="18:19" x14ac:dyDescent="0.35">
      <c r="R81" s="4"/>
      <c r="S81" s="4"/>
    </row>
    <row r="82" spans="18:19" x14ac:dyDescent="0.35">
      <c r="R82" s="4"/>
      <c r="S82" s="4"/>
    </row>
    <row r="83" spans="18:19" x14ac:dyDescent="0.35">
      <c r="R83" s="4"/>
      <c r="S83" s="4"/>
    </row>
    <row r="84" spans="18:19" x14ac:dyDescent="0.35">
      <c r="R84" s="4"/>
      <c r="S84" s="4"/>
    </row>
    <row r="85" spans="18:19" x14ac:dyDescent="0.35">
      <c r="R85" s="4"/>
      <c r="S85" s="4"/>
    </row>
    <row r="86" spans="18:19" x14ac:dyDescent="0.35">
      <c r="R86" s="4"/>
      <c r="S86" s="4"/>
    </row>
    <row r="87" spans="18:19" x14ac:dyDescent="0.35">
      <c r="R87" s="4"/>
      <c r="S87" s="4"/>
    </row>
    <row r="88" spans="18:19" x14ac:dyDescent="0.35">
      <c r="R88" s="4"/>
      <c r="S88" s="4"/>
    </row>
    <row r="89" spans="18:19" x14ac:dyDescent="0.35">
      <c r="R89" s="4"/>
      <c r="S89" s="4"/>
    </row>
    <row r="90" spans="18:19" x14ac:dyDescent="0.35">
      <c r="R90" s="4"/>
      <c r="S90" s="4"/>
    </row>
    <row r="91" spans="18:19" x14ac:dyDescent="0.35">
      <c r="R91" s="4"/>
      <c r="S91" s="4"/>
    </row>
    <row r="92" spans="18:19" x14ac:dyDescent="0.35">
      <c r="R92" s="4"/>
      <c r="S92" s="4"/>
    </row>
    <row r="93" spans="18:19" x14ac:dyDescent="0.35">
      <c r="R93" s="4"/>
      <c r="S93" s="4"/>
    </row>
    <row r="94" spans="18:19" x14ac:dyDescent="0.35">
      <c r="R94" s="4"/>
      <c r="S94" s="4"/>
    </row>
    <row r="95" spans="18:19" x14ac:dyDescent="0.35">
      <c r="R95" s="4"/>
      <c r="S95" s="4"/>
    </row>
    <row r="96" spans="18:19" x14ac:dyDescent="0.35">
      <c r="R96" s="4"/>
      <c r="S96" s="4"/>
    </row>
    <row r="97" spans="18:19" x14ac:dyDescent="0.35">
      <c r="R97" s="4"/>
      <c r="S97" s="4"/>
    </row>
    <row r="98" spans="18:19" x14ac:dyDescent="0.35">
      <c r="R98" s="4"/>
      <c r="S98" s="4"/>
    </row>
    <row r="99" spans="18:19" x14ac:dyDescent="0.35">
      <c r="R99" s="4"/>
      <c r="S99" s="4"/>
    </row>
    <row r="100" spans="18:19" x14ac:dyDescent="0.35">
      <c r="R100" s="4"/>
      <c r="S100" s="4"/>
    </row>
    <row r="101" spans="18:19" x14ac:dyDescent="0.35">
      <c r="R101" s="4"/>
      <c r="S101" s="4"/>
    </row>
    <row r="102" spans="18:19" x14ac:dyDescent="0.35">
      <c r="R102" s="4"/>
      <c r="S102" s="4"/>
    </row>
    <row r="103" spans="18:19" x14ac:dyDescent="0.35">
      <c r="R103" s="4"/>
      <c r="S103" s="4"/>
    </row>
    <row r="104" spans="18:19" x14ac:dyDescent="0.35">
      <c r="R104" s="4"/>
      <c r="S104" s="4"/>
    </row>
    <row r="105" spans="18:19" x14ac:dyDescent="0.35">
      <c r="R105" s="4"/>
      <c r="S105" s="4"/>
    </row>
    <row r="106" spans="18:19" x14ac:dyDescent="0.35">
      <c r="R106" s="4"/>
      <c r="S106" s="4"/>
    </row>
    <row r="107" spans="18:19" x14ac:dyDescent="0.35">
      <c r="R107" s="4"/>
      <c r="S107" s="4"/>
    </row>
    <row r="108" spans="18:19" x14ac:dyDescent="0.35">
      <c r="R108" s="4"/>
      <c r="S108" s="4"/>
    </row>
    <row r="109" spans="18:19" x14ac:dyDescent="0.35">
      <c r="R109" s="4"/>
      <c r="S109" s="4"/>
    </row>
    <row r="110" spans="18:19" x14ac:dyDescent="0.35">
      <c r="R110" s="4"/>
      <c r="S110" s="4"/>
    </row>
    <row r="111" spans="18:19" x14ac:dyDescent="0.35">
      <c r="R111" s="4"/>
      <c r="S111" s="4"/>
    </row>
    <row r="112" spans="18:19" x14ac:dyDescent="0.35">
      <c r="R112" s="4"/>
      <c r="S112" s="4"/>
    </row>
    <row r="113" spans="18:19" x14ac:dyDescent="0.35">
      <c r="R113" s="4"/>
      <c r="S113" s="4"/>
    </row>
    <row r="114" spans="18:19" x14ac:dyDescent="0.35">
      <c r="R114" s="4"/>
      <c r="S114" s="4"/>
    </row>
    <row r="115" spans="18:19" x14ac:dyDescent="0.35">
      <c r="R115" s="4"/>
      <c r="S115" s="4"/>
    </row>
    <row r="116" spans="18:19" x14ac:dyDescent="0.35">
      <c r="R116" s="4"/>
      <c r="S116" s="4"/>
    </row>
    <row r="117" spans="18:19" x14ac:dyDescent="0.35">
      <c r="R117" s="4"/>
      <c r="S117" s="4"/>
    </row>
    <row r="118" spans="18:19" x14ac:dyDescent="0.35">
      <c r="R118" s="4"/>
      <c r="S118" s="4"/>
    </row>
    <row r="119" spans="18:19" x14ac:dyDescent="0.35">
      <c r="R119" s="4"/>
      <c r="S119" s="4"/>
    </row>
    <row r="120" spans="18:19" x14ac:dyDescent="0.35">
      <c r="R120" s="4"/>
      <c r="S120" s="4"/>
    </row>
    <row r="121" spans="18:19" x14ac:dyDescent="0.35">
      <c r="R121" s="4"/>
      <c r="S121" s="4"/>
    </row>
    <row r="122" spans="18:19" x14ac:dyDescent="0.35">
      <c r="R122" s="4"/>
      <c r="S122" s="4"/>
    </row>
    <row r="123" spans="18:19" x14ac:dyDescent="0.35">
      <c r="R123" s="4"/>
      <c r="S123" s="4"/>
    </row>
    <row r="124" spans="18:19" x14ac:dyDescent="0.35">
      <c r="R124" s="4"/>
      <c r="S124" s="4"/>
    </row>
    <row r="125" spans="18:19" x14ac:dyDescent="0.35">
      <c r="R125" s="4"/>
      <c r="S125" s="4"/>
    </row>
    <row r="126" spans="18:19" x14ac:dyDescent="0.35">
      <c r="R126" s="4"/>
      <c r="S126" s="4"/>
    </row>
    <row r="127" spans="18:19" x14ac:dyDescent="0.35">
      <c r="R127" s="4"/>
      <c r="S127" s="4"/>
    </row>
    <row r="128" spans="18:19" x14ac:dyDescent="0.35">
      <c r="R128" s="4"/>
      <c r="S128" s="4"/>
    </row>
    <row r="129" spans="18:19" x14ac:dyDescent="0.35">
      <c r="R129" s="4"/>
      <c r="S129" s="4"/>
    </row>
    <row r="130" spans="18:19" x14ac:dyDescent="0.35">
      <c r="R130" s="4"/>
      <c r="S130" s="4"/>
    </row>
    <row r="131" spans="18:19" x14ac:dyDescent="0.35">
      <c r="R131" s="4"/>
      <c r="S131" s="4"/>
    </row>
    <row r="132" spans="18:19" x14ac:dyDescent="0.35">
      <c r="R132" s="4"/>
      <c r="S132" s="4"/>
    </row>
    <row r="133" spans="18:19" x14ac:dyDescent="0.35">
      <c r="R133" s="4"/>
      <c r="S133" s="4"/>
    </row>
    <row r="134" spans="18:19" x14ac:dyDescent="0.35">
      <c r="R134" s="4"/>
      <c r="S134" s="4"/>
    </row>
    <row r="135" spans="18:19" x14ac:dyDescent="0.35">
      <c r="R135" s="4"/>
      <c r="S135" s="4"/>
    </row>
    <row r="136" spans="18:19" x14ac:dyDescent="0.35">
      <c r="R136" s="4"/>
      <c r="S136" s="4"/>
    </row>
    <row r="137" spans="18:19" x14ac:dyDescent="0.35">
      <c r="R137" s="4"/>
      <c r="S137" s="4"/>
    </row>
    <row r="138" spans="18:19" x14ac:dyDescent="0.35">
      <c r="R138" s="4"/>
      <c r="S138" s="4"/>
    </row>
    <row r="139" spans="18:19" x14ac:dyDescent="0.35">
      <c r="R139" s="4"/>
      <c r="S139" s="4"/>
    </row>
    <row r="140" spans="18:19" x14ac:dyDescent="0.35">
      <c r="R140" s="4"/>
      <c r="S140" s="4"/>
    </row>
    <row r="141" spans="18:19" x14ac:dyDescent="0.35">
      <c r="R141" s="4"/>
      <c r="S141" s="4"/>
    </row>
    <row r="142" spans="18:19" x14ac:dyDescent="0.35">
      <c r="R142" s="4"/>
      <c r="S142" s="4"/>
    </row>
    <row r="143" spans="18:19" x14ac:dyDescent="0.35">
      <c r="R143" s="4"/>
      <c r="S143" s="4"/>
    </row>
    <row r="144" spans="18:19" x14ac:dyDescent="0.35">
      <c r="R144" s="4"/>
      <c r="S144" s="4"/>
    </row>
    <row r="145" spans="18:19" x14ac:dyDescent="0.35">
      <c r="R145" s="4"/>
      <c r="S145" s="4"/>
    </row>
    <row r="146" spans="18:19" x14ac:dyDescent="0.35">
      <c r="R146" s="4"/>
      <c r="S146" s="4"/>
    </row>
    <row r="147" spans="18:19" x14ac:dyDescent="0.35">
      <c r="R147" s="4"/>
      <c r="S147" s="4"/>
    </row>
    <row r="148" spans="18:19" x14ac:dyDescent="0.35">
      <c r="R148" s="4"/>
      <c r="S148" s="4"/>
    </row>
    <row r="149" spans="18:19" x14ac:dyDescent="0.35">
      <c r="R149" s="4"/>
      <c r="S149" s="4"/>
    </row>
    <row r="150" spans="18:19" x14ac:dyDescent="0.35">
      <c r="R150" s="4"/>
      <c r="S150" s="4"/>
    </row>
    <row r="151" spans="18:19" x14ac:dyDescent="0.35">
      <c r="R151" s="4"/>
      <c r="S151" s="4"/>
    </row>
    <row r="152" spans="18:19" x14ac:dyDescent="0.35">
      <c r="R152" s="4"/>
      <c r="S152" s="4"/>
    </row>
    <row r="153" spans="18:19" x14ac:dyDescent="0.35">
      <c r="R153" s="4"/>
      <c r="S153" s="4"/>
    </row>
    <row r="154" spans="18:19" x14ac:dyDescent="0.35">
      <c r="R154" s="4"/>
      <c r="S154" s="4"/>
    </row>
    <row r="155" spans="18:19" x14ac:dyDescent="0.35">
      <c r="R155" s="4"/>
      <c r="S155" s="4"/>
    </row>
    <row r="156" spans="18:19" x14ac:dyDescent="0.35">
      <c r="R156" s="4"/>
      <c r="S156" s="4"/>
    </row>
    <row r="157" spans="18:19" x14ac:dyDescent="0.35">
      <c r="R157" s="4"/>
      <c r="S157" s="4"/>
    </row>
    <row r="158" spans="18:19" x14ac:dyDescent="0.35">
      <c r="R158" s="4"/>
      <c r="S158" s="4"/>
    </row>
    <row r="159" spans="18:19" x14ac:dyDescent="0.35">
      <c r="R159" s="4"/>
      <c r="S159" s="4"/>
    </row>
    <row r="160" spans="18:19" x14ac:dyDescent="0.35">
      <c r="R160" s="4"/>
      <c r="S160" s="4"/>
    </row>
    <row r="161" spans="18:19" x14ac:dyDescent="0.35">
      <c r="R161" s="4"/>
      <c r="S161" s="4"/>
    </row>
    <row r="162" spans="18:19" x14ac:dyDescent="0.35">
      <c r="R162" s="4"/>
      <c r="S162" s="4"/>
    </row>
    <row r="163" spans="18:19" x14ac:dyDescent="0.35">
      <c r="R163" s="4"/>
      <c r="S163" s="4"/>
    </row>
    <row r="164" spans="18:19" x14ac:dyDescent="0.35">
      <c r="R164" s="4"/>
      <c r="S164" s="4"/>
    </row>
    <row r="165" spans="18:19" x14ac:dyDescent="0.35">
      <c r="R165" s="4"/>
      <c r="S165" s="4"/>
    </row>
    <row r="166" spans="18:19" x14ac:dyDescent="0.35">
      <c r="R166" s="4"/>
      <c r="S166" s="4"/>
    </row>
    <row r="167" spans="18:19" x14ac:dyDescent="0.35">
      <c r="R167" s="4"/>
      <c r="S167" s="4"/>
    </row>
    <row r="168" spans="18:19" x14ac:dyDescent="0.35">
      <c r="R168" s="4"/>
      <c r="S168" s="4"/>
    </row>
    <row r="169" spans="18:19" x14ac:dyDescent="0.35">
      <c r="R169" s="4"/>
      <c r="S169" s="4"/>
    </row>
    <row r="170" spans="18:19" x14ac:dyDescent="0.35">
      <c r="R170" s="4"/>
      <c r="S170" s="4"/>
    </row>
    <row r="171" spans="18:19" x14ac:dyDescent="0.35">
      <c r="R171" s="4"/>
      <c r="S171" s="4"/>
    </row>
    <row r="172" spans="18:19" x14ac:dyDescent="0.35">
      <c r="R172" s="4"/>
      <c r="S172" s="4"/>
    </row>
    <row r="173" spans="18:19" x14ac:dyDescent="0.35">
      <c r="R173" s="4"/>
      <c r="S173" s="4"/>
    </row>
    <row r="174" spans="18:19" x14ac:dyDescent="0.35">
      <c r="R174" s="4"/>
      <c r="S174" s="4"/>
    </row>
    <row r="175" spans="18:19" x14ac:dyDescent="0.35">
      <c r="R175" s="4"/>
      <c r="S175" s="4"/>
    </row>
    <row r="176" spans="18:19" x14ac:dyDescent="0.35">
      <c r="R176" s="4"/>
      <c r="S176" s="4"/>
    </row>
    <row r="177" spans="18:19" x14ac:dyDescent="0.35">
      <c r="R177" s="4"/>
      <c r="S177" s="4"/>
    </row>
    <row r="178" spans="18:19" x14ac:dyDescent="0.35">
      <c r="R178" s="4"/>
      <c r="S178" s="4"/>
    </row>
    <row r="179" spans="18:19" x14ac:dyDescent="0.35">
      <c r="R179" s="4"/>
      <c r="S179" s="4"/>
    </row>
    <row r="180" spans="18:19" x14ac:dyDescent="0.35">
      <c r="R180" s="4"/>
      <c r="S180" s="4"/>
    </row>
    <row r="181" spans="18:19" x14ac:dyDescent="0.35">
      <c r="R181" s="4"/>
      <c r="S181" s="4"/>
    </row>
    <row r="182" spans="18:19" x14ac:dyDescent="0.35">
      <c r="R182" s="4"/>
      <c r="S182" s="4"/>
    </row>
    <row r="183" spans="18:19" x14ac:dyDescent="0.35">
      <c r="R183" s="4"/>
      <c r="S183" s="4"/>
    </row>
    <row r="184" spans="18:19" x14ac:dyDescent="0.35">
      <c r="R184" s="4"/>
      <c r="S184" s="4"/>
    </row>
    <row r="185" spans="18:19" x14ac:dyDescent="0.35">
      <c r="R185" s="4"/>
      <c r="S185" s="4"/>
    </row>
    <row r="186" spans="18:19" x14ac:dyDescent="0.35">
      <c r="R186" s="4"/>
      <c r="S186" s="4"/>
    </row>
    <row r="187" spans="18:19" x14ac:dyDescent="0.35">
      <c r="R187" s="4"/>
      <c r="S187" s="4"/>
    </row>
    <row r="188" spans="18:19" x14ac:dyDescent="0.35">
      <c r="R188" s="4"/>
      <c r="S188" s="4"/>
    </row>
    <row r="189" spans="18:19" x14ac:dyDescent="0.35">
      <c r="R189" s="4"/>
      <c r="S189" s="4"/>
    </row>
    <row r="190" spans="18:19" x14ac:dyDescent="0.35">
      <c r="R190" s="4"/>
      <c r="S190" s="4"/>
    </row>
    <row r="191" spans="18:19" x14ac:dyDescent="0.35">
      <c r="R191" s="4"/>
      <c r="S191" s="4"/>
    </row>
    <row r="192" spans="18:19" x14ac:dyDescent="0.35">
      <c r="R192" s="4"/>
      <c r="S192" s="4"/>
    </row>
    <row r="193" spans="18:19" x14ac:dyDescent="0.35">
      <c r="R193" s="4"/>
      <c r="S193" s="4"/>
    </row>
    <row r="194" spans="18:19" x14ac:dyDescent="0.35">
      <c r="R194" s="4"/>
      <c r="S194" s="4"/>
    </row>
    <row r="195" spans="18:19" x14ac:dyDescent="0.35">
      <c r="R195" s="4"/>
      <c r="S195" s="4"/>
    </row>
    <row r="196" spans="18:19" x14ac:dyDescent="0.35">
      <c r="R196" s="4"/>
      <c r="S196" s="4"/>
    </row>
    <row r="197" spans="18:19" x14ac:dyDescent="0.35">
      <c r="R197" s="4"/>
      <c r="S197" s="4"/>
    </row>
    <row r="198" spans="18:19" x14ac:dyDescent="0.35">
      <c r="R198" s="4"/>
      <c r="S198" s="4"/>
    </row>
    <row r="199" spans="18:19" x14ac:dyDescent="0.35">
      <c r="R199" s="4"/>
      <c r="S199" s="4"/>
    </row>
    <row r="200" spans="18:19" x14ac:dyDescent="0.35">
      <c r="R200" s="4"/>
      <c r="S200" s="4"/>
    </row>
    <row r="201" spans="18:19" x14ac:dyDescent="0.35">
      <c r="R201" s="4"/>
      <c r="S201" s="4"/>
    </row>
    <row r="202" spans="18:19" x14ac:dyDescent="0.35">
      <c r="R202" s="4"/>
      <c r="S202" s="4"/>
    </row>
    <row r="203" spans="18:19" x14ac:dyDescent="0.35">
      <c r="R203" s="4"/>
      <c r="S203" s="4"/>
    </row>
    <row r="204" spans="18:19" x14ac:dyDescent="0.35">
      <c r="R204" s="4"/>
      <c r="S204" s="4"/>
    </row>
    <row r="205" spans="18:19" x14ac:dyDescent="0.35">
      <c r="R205" s="4"/>
      <c r="S205" s="4"/>
    </row>
    <row r="206" spans="18:19" x14ac:dyDescent="0.35">
      <c r="R206" s="4"/>
      <c r="S206" s="4"/>
    </row>
    <row r="207" spans="18:19" x14ac:dyDescent="0.35">
      <c r="R207" s="4"/>
      <c r="S207" s="4"/>
    </row>
    <row r="208" spans="18:19" x14ac:dyDescent="0.35">
      <c r="R208" s="4"/>
      <c r="S208" s="4"/>
    </row>
    <row r="209" spans="18:19" x14ac:dyDescent="0.35">
      <c r="R209" s="4"/>
      <c r="S209" s="4"/>
    </row>
    <row r="210" spans="18:19" x14ac:dyDescent="0.35">
      <c r="R210" s="4"/>
      <c r="S210" s="4"/>
    </row>
    <row r="211" spans="18:19" x14ac:dyDescent="0.35">
      <c r="R211" s="4"/>
      <c r="S211" s="4"/>
    </row>
    <row r="212" spans="18:19" x14ac:dyDescent="0.35">
      <c r="R212" s="4"/>
      <c r="S212" s="4"/>
    </row>
    <row r="213" spans="18:19" x14ac:dyDescent="0.35">
      <c r="R213" s="4"/>
      <c r="S213" s="4"/>
    </row>
    <row r="214" spans="18:19" x14ac:dyDescent="0.35">
      <c r="R214" s="4"/>
      <c r="S214" s="4"/>
    </row>
    <row r="215" spans="18:19" x14ac:dyDescent="0.35">
      <c r="R215" s="4"/>
      <c r="S215" s="4"/>
    </row>
    <row r="216" spans="18:19" x14ac:dyDescent="0.35">
      <c r="R216" s="4"/>
      <c r="S216" s="4"/>
    </row>
    <row r="217" spans="18:19" x14ac:dyDescent="0.35">
      <c r="R217" s="4"/>
      <c r="S217" s="4"/>
    </row>
    <row r="218" spans="18:19" x14ac:dyDescent="0.35">
      <c r="R218" s="4"/>
      <c r="S218" s="4"/>
    </row>
    <row r="219" spans="18:19" x14ac:dyDescent="0.35">
      <c r="R219" s="4"/>
      <c r="S219" s="4"/>
    </row>
    <row r="220" spans="18:19" x14ac:dyDescent="0.35">
      <c r="R220" s="4"/>
      <c r="S220" s="4"/>
    </row>
    <row r="221" spans="18:19" x14ac:dyDescent="0.35">
      <c r="R221" s="4"/>
      <c r="S221" s="4"/>
    </row>
    <row r="222" spans="18:19" x14ac:dyDescent="0.35">
      <c r="R222" s="4"/>
      <c r="S222" s="4"/>
    </row>
    <row r="223" spans="18:19" x14ac:dyDescent="0.35">
      <c r="R223" s="4"/>
      <c r="S223" s="4"/>
    </row>
    <row r="224" spans="18:19" x14ac:dyDescent="0.35">
      <c r="R224" s="4"/>
      <c r="S224" s="4"/>
    </row>
    <row r="225" spans="18:19" x14ac:dyDescent="0.35">
      <c r="R225" s="4"/>
      <c r="S225" s="4"/>
    </row>
    <row r="226" spans="18:19" x14ac:dyDescent="0.35">
      <c r="R226" s="4"/>
      <c r="S226" s="4"/>
    </row>
    <row r="227" spans="18:19" x14ac:dyDescent="0.35">
      <c r="R227" s="4"/>
      <c r="S227" s="4"/>
    </row>
    <row r="228" spans="18:19" x14ac:dyDescent="0.35">
      <c r="R228" s="4"/>
      <c r="S228" s="4"/>
    </row>
    <row r="229" spans="18:19" x14ac:dyDescent="0.35">
      <c r="R229" s="4"/>
      <c r="S229" s="4"/>
    </row>
    <row r="230" spans="18:19" x14ac:dyDescent="0.35">
      <c r="R230" s="4"/>
      <c r="S230" s="4"/>
    </row>
    <row r="231" spans="18:19" x14ac:dyDescent="0.35">
      <c r="R231" s="4"/>
      <c r="S231" s="4"/>
    </row>
    <row r="232" spans="18:19" x14ac:dyDescent="0.35">
      <c r="R232" s="4"/>
      <c r="S232" s="4"/>
    </row>
    <row r="233" spans="18:19" x14ac:dyDescent="0.35">
      <c r="R233" s="4"/>
      <c r="S233" s="4"/>
    </row>
    <row r="234" spans="18:19" x14ac:dyDescent="0.35">
      <c r="R234" s="4"/>
      <c r="S234" s="4"/>
    </row>
    <row r="235" spans="18:19" x14ac:dyDescent="0.35">
      <c r="R235" s="4"/>
      <c r="S235" s="4"/>
    </row>
    <row r="236" spans="18:19" x14ac:dyDescent="0.35">
      <c r="R236" s="4"/>
      <c r="S236" s="4"/>
    </row>
    <row r="237" spans="18:19" x14ac:dyDescent="0.35">
      <c r="R237" s="4"/>
      <c r="S237" s="4"/>
    </row>
    <row r="238" spans="18:19" x14ac:dyDescent="0.35">
      <c r="R238" s="4"/>
      <c r="S238" s="4"/>
    </row>
    <row r="239" spans="18:19" x14ac:dyDescent="0.35">
      <c r="R239" s="4"/>
      <c r="S239" s="4"/>
    </row>
    <row r="240" spans="18:19" x14ac:dyDescent="0.35">
      <c r="R240" s="4"/>
      <c r="S240" s="4"/>
    </row>
    <row r="241" spans="18:19" x14ac:dyDescent="0.35">
      <c r="R241" s="4"/>
      <c r="S241" s="4"/>
    </row>
    <row r="242" spans="18:19" x14ac:dyDescent="0.35">
      <c r="R242" s="4"/>
      <c r="S242" s="4"/>
    </row>
    <row r="243" spans="18:19" x14ac:dyDescent="0.35">
      <c r="R243" s="4"/>
      <c r="S243" s="4"/>
    </row>
    <row r="244" spans="18:19" x14ac:dyDescent="0.35">
      <c r="R244" s="4"/>
      <c r="S244" s="4"/>
    </row>
    <row r="245" spans="18:19" x14ac:dyDescent="0.35">
      <c r="R245" s="4"/>
      <c r="S245" s="4"/>
    </row>
    <row r="246" spans="18:19" x14ac:dyDescent="0.35">
      <c r="R246" s="4"/>
      <c r="S246" s="4"/>
    </row>
    <row r="247" spans="18:19" x14ac:dyDescent="0.35">
      <c r="R247" s="4"/>
      <c r="S247" s="4"/>
    </row>
    <row r="248" spans="18:19" x14ac:dyDescent="0.35">
      <c r="R248" s="4"/>
      <c r="S248" s="4"/>
    </row>
    <row r="249" spans="18:19" x14ac:dyDescent="0.35">
      <c r="R249" s="4"/>
      <c r="S249" s="4"/>
    </row>
    <row r="250" spans="18:19" x14ac:dyDescent="0.35">
      <c r="R250" s="4"/>
      <c r="S250" s="4"/>
    </row>
    <row r="251" spans="18:19" x14ac:dyDescent="0.35">
      <c r="R251" s="4"/>
      <c r="S251" s="4"/>
    </row>
    <row r="252" spans="18:19" x14ac:dyDescent="0.35">
      <c r="R252" s="4"/>
      <c r="S252" s="4"/>
    </row>
    <row r="253" spans="18:19" x14ac:dyDescent="0.35">
      <c r="R253" s="4"/>
      <c r="S253" s="4"/>
    </row>
    <row r="254" spans="18:19" x14ac:dyDescent="0.35">
      <c r="R254" s="4"/>
      <c r="S254" s="4"/>
    </row>
    <row r="255" spans="18:19" x14ac:dyDescent="0.35">
      <c r="R255" s="4"/>
      <c r="S255" s="4"/>
    </row>
    <row r="256" spans="18:19" x14ac:dyDescent="0.35">
      <c r="R256" s="4"/>
      <c r="S256" s="4"/>
    </row>
    <row r="257" spans="18:19" x14ac:dyDescent="0.35">
      <c r="R257" s="4"/>
      <c r="S257" s="4"/>
    </row>
    <row r="258" spans="18:19" x14ac:dyDescent="0.35">
      <c r="R258" s="4"/>
      <c r="S258" s="4"/>
    </row>
    <row r="259" spans="18:19" x14ac:dyDescent="0.35">
      <c r="R259" s="4"/>
      <c r="S259" s="4"/>
    </row>
    <row r="260" spans="18:19" x14ac:dyDescent="0.35">
      <c r="R260" s="4"/>
      <c r="S260" s="4"/>
    </row>
    <row r="261" spans="18:19" x14ac:dyDescent="0.35">
      <c r="R261" s="4"/>
      <c r="S261" s="4"/>
    </row>
    <row r="262" spans="18:19" x14ac:dyDescent="0.35">
      <c r="R262" s="4"/>
      <c r="S262" s="4"/>
    </row>
    <row r="263" spans="18:19" x14ac:dyDescent="0.35">
      <c r="R263" s="4"/>
      <c r="S263" s="4"/>
    </row>
    <row r="264" spans="18:19" x14ac:dyDescent="0.35">
      <c r="R264" s="4"/>
      <c r="S264" s="4"/>
    </row>
    <row r="265" spans="18:19" x14ac:dyDescent="0.35">
      <c r="R265" s="4"/>
      <c r="S265" s="4"/>
    </row>
    <row r="266" spans="18:19" x14ac:dyDescent="0.35">
      <c r="R266" s="4"/>
      <c r="S266" s="4"/>
    </row>
    <row r="267" spans="18:19" x14ac:dyDescent="0.35">
      <c r="R267" s="4"/>
      <c r="S267" s="4"/>
    </row>
    <row r="268" spans="18:19" x14ac:dyDescent="0.35">
      <c r="R268" s="4"/>
      <c r="S268" s="4"/>
    </row>
    <row r="269" spans="18:19" x14ac:dyDescent="0.35">
      <c r="R269" s="4"/>
      <c r="S269" s="4"/>
    </row>
    <row r="270" spans="18:19" x14ac:dyDescent="0.35">
      <c r="R270" s="4"/>
      <c r="S270" s="4"/>
    </row>
    <row r="271" spans="18:19" x14ac:dyDescent="0.35">
      <c r="R271" s="4"/>
      <c r="S271" s="4"/>
    </row>
    <row r="272" spans="18:19" x14ac:dyDescent="0.35">
      <c r="R272" s="4"/>
      <c r="S272" s="4"/>
    </row>
    <row r="273" spans="18:19" x14ac:dyDescent="0.35">
      <c r="R273" s="4"/>
      <c r="S273" s="4"/>
    </row>
    <row r="274" spans="18:19" x14ac:dyDescent="0.35">
      <c r="R274" s="4"/>
      <c r="S274" s="4"/>
    </row>
    <row r="275" spans="18:19" x14ac:dyDescent="0.35">
      <c r="R275" s="4"/>
      <c r="S275" s="4"/>
    </row>
    <row r="276" spans="18:19" x14ac:dyDescent="0.35">
      <c r="R276" s="4"/>
      <c r="S276" s="4"/>
    </row>
    <row r="277" spans="18:19" x14ac:dyDescent="0.35">
      <c r="R277" s="4"/>
      <c r="S277" s="4"/>
    </row>
    <row r="278" spans="18:19" x14ac:dyDescent="0.35">
      <c r="R278" s="4"/>
      <c r="S278" s="4"/>
    </row>
    <row r="279" spans="18:19" x14ac:dyDescent="0.35">
      <c r="R279" s="4"/>
      <c r="S279" s="4"/>
    </row>
    <row r="280" spans="18:19" x14ac:dyDescent="0.35">
      <c r="R280" s="4"/>
      <c r="S280" s="4"/>
    </row>
    <row r="281" spans="18:19" x14ac:dyDescent="0.35">
      <c r="R281" s="4"/>
      <c r="S281" s="4"/>
    </row>
    <row r="282" spans="18:19" x14ac:dyDescent="0.35">
      <c r="R282" s="4"/>
      <c r="S282" s="4"/>
    </row>
    <row r="283" spans="18:19" x14ac:dyDescent="0.35">
      <c r="R283" s="4"/>
      <c r="S283" s="4"/>
    </row>
    <row r="284" spans="18:19" x14ac:dyDescent="0.35">
      <c r="R284" s="4"/>
      <c r="S284" s="4"/>
    </row>
    <row r="285" spans="18:19" x14ac:dyDescent="0.35">
      <c r="R285" s="4"/>
      <c r="S285" s="4"/>
    </row>
    <row r="286" spans="18:19" x14ac:dyDescent="0.35">
      <c r="R286" s="4"/>
      <c r="S286" s="4"/>
    </row>
    <row r="287" spans="18:19" x14ac:dyDescent="0.35">
      <c r="R287" s="4"/>
      <c r="S287" s="4"/>
    </row>
    <row r="288" spans="18:19" x14ac:dyDescent="0.35">
      <c r="R288" s="4"/>
      <c r="S288" s="4"/>
    </row>
    <row r="289" spans="18:19" x14ac:dyDescent="0.35">
      <c r="R289" s="4"/>
      <c r="S289" s="4"/>
    </row>
    <row r="290" spans="18:19" x14ac:dyDescent="0.35">
      <c r="R290" s="4"/>
      <c r="S290" s="4"/>
    </row>
    <row r="291" spans="18:19" x14ac:dyDescent="0.35">
      <c r="R291" s="4"/>
      <c r="S291" s="4"/>
    </row>
    <row r="292" spans="18:19" x14ac:dyDescent="0.35">
      <c r="R292" s="4"/>
      <c r="S292" s="4"/>
    </row>
    <row r="293" spans="18:19" x14ac:dyDescent="0.35">
      <c r="R293" s="4"/>
      <c r="S293" s="4"/>
    </row>
    <row r="294" spans="18:19" x14ac:dyDescent="0.35">
      <c r="R294" s="4"/>
      <c r="S294" s="4"/>
    </row>
    <row r="295" spans="18:19" x14ac:dyDescent="0.35">
      <c r="R295" s="4"/>
      <c r="S295" s="4"/>
    </row>
    <row r="296" spans="18:19" x14ac:dyDescent="0.35">
      <c r="R296" s="4"/>
      <c r="S296" s="4"/>
    </row>
    <row r="297" spans="18:19" x14ac:dyDescent="0.35">
      <c r="R297" s="4"/>
      <c r="S297" s="4"/>
    </row>
    <row r="298" spans="18:19" x14ac:dyDescent="0.35">
      <c r="R298" s="4"/>
      <c r="S298" s="4"/>
    </row>
    <row r="299" spans="18:19" x14ac:dyDescent="0.35">
      <c r="R299" s="4"/>
      <c r="S299" s="4"/>
    </row>
    <row r="300" spans="18:19" x14ac:dyDescent="0.35">
      <c r="R300" s="4"/>
      <c r="S300" s="4"/>
    </row>
    <row r="301" spans="18:19" x14ac:dyDescent="0.35">
      <c r="R301" s="4"/>
      <c r="S301" s="4"/>
    </row>
    <row r="302" spans="18:19" x14ac:dyDescent="0.35">
      <c r="R302" s="4"/>
      <c r="S302" s="4"/>
    </row>
    <row r="303" spans="18:19" x14ac:dyDescent="0.35">
      <c r="R303" s="4"/>
      <c r="S303" s="4"/>
    </row>
    <row r="304" spans="18:19" x14ac:dyDescent="0.35">
      <c r="R304" s="4"/>
      <c r="S304" s="4"/>
    </row>
    <row r="305" spans="18:19" x14ac:dyDescent="0.35">
      <c r="R305" s="4"/>
      <c r="S305" s="4"/>
    </row>
    <row r="306" spans="18:19" x14ac:dyDescent="0.35">
      <c r="R306" s="4"/>
      <c r="S306" s="4"/>
    </row>
    <row r="307" spans="18:19" x14ac:dyDescent="0.35">
      <c r="R307" s="4"/>
      <c r="S307" s="4"/>
    </row>
    <row r="308" spans="18:19" x14ac:dyDescent="0.35">
      <c r="R308" s="4"/>
      <c r="S308" s="4"/>
    </row>
    <row r="309" spans="18:19" x14ac:dyDescent="0.35">
      <c r="R309" s="4"/>
      <c r="S309" s="4"/>
    </row>
    <row r="310" spans="18:19" x14ac:dyDescent="0.35">
      <c r="R310" s="4"/>
      <c r="S310" s="4"/>
    </row>
    <row r="311" spans="18:19" x14ac:dyDescent="0.35">
      <c r="R311" s="4"/>
      <c r="S311" s="4"/>
    </row>
    <row r="312" spans="18:19" x14ac:dyDescent="0.35">
      <c r="R312" s="4"/>
      <c r="S312" s="4"/>
    </row>
    <row r="313" spans="18:19" x14ac:dyDescent="0.35">
      <c r="R313" s="4"/>
      <c r="S313" s="4"/>
    </row>
    <row r="314" spans="18:19" x14ac:dyDescent="0.35">
      <c r="R314" s="4"/>
      <c r="S314" s="4"/>
    </row>
    <row r="315" spans="18:19" x14ac:dyDescent="0.35">
      <c r="R315" s="4"/>
      <c r="S315" s="4"/>
    </row>
    <row r="316" spans="18:19" x14ac:dyDescent="0.35">
      <c r="R316" s="4"/>
      <c r="S316" s="4"/>
    </row>
    <row r="317" spans="18:19" x14ac:dyDescent="0.35">
      <c r="R317" s="4"/>
      <c r="S317" s="4"/>
    </row>
    <row r="318" spans="18:19" x14ac:dyDescent="0.35">
      <c r="R318" s="4"/>
      <c r="S318" s="4"/>
    </row>
    <row r="319" spans="18:19" x14ac:dyDescent="0.35">
      <c r="R319" s="4"/>
      <c r="S319" s="4"/>
    </row>
    <row r="320" spans="18:19" x14ac:dyDescent="0.35">
      <c r="R320" s="4"/>
      <c r="S320" s="4"/>
    </row>
    <row r="321" spans="18:19" x14ac:dyDescent="0.35">
      <c r="R321" s="4"/>
      <c r="S321" s="4"/>
    </row>
    <row r="322" spans="18:19" x14ac:dyDescent="0.35">
      <c r="R322" s="4"/>
      <c r="S322" s="4"/>
    </row>
    <row r="323" spans="18:19" x14ac:dyDescent="0.35">
      <c r="R323" s="4"/>
      <c r="S323" s="4"/>
    </row>
    <row r="324" spans="18:19" x14ac:dyDescent="0.35">
      <c r="R324" s="4"/>
      <c r="S324" s="4"/>
    </row>
    <row r="325" spans="18:19" x14ac:dyDescent="0.35">
      <c r="R325" s="4"/>
      <c r="S325" s="4"/>
    </row>
    <row r="326" spans="18:19" x14ac:dyDescent="0.35">
      <c r="R326" s="4"/>
      <c r="S326" s="4"/>
    </row>
    <row r="327" spans="18:19" x14ac:dyDescent="0.35">
      <c r="R327" s="4"/>
      <c r="S327" s="4"/>
    </row>
  </sheetData>
  <conditionalFormatting sqref="Q1:Q1048576">
    <cfRule type="colorScale" priority="1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6913B-E187-4B78-8BB6-3930FADA91C1}">
  <dimension ref="A1:AA19"/>
  <sheetViews>
    <sheetView topLeftCell="A4" zoomScale="73" zoomScaleNormal="100" workbookViewId="0">
      <selection activeCell="A19" sqref="A19"/>
    </sheetView>
  </sheetViews>
  <sheetFormatPr defaultRowHeight="13.15" x14ac:dyDescent="0.4"/>
  <cols>
    <col min="20" max="20" width="9.1328125" style="42"/>
  </cols>
  <sheetData>
    <row r="1" spans="1:27" x14ac:dyDescent="0.4">
      <c r="A1" t="s">
        <v>57</v>
      </c>
      <c r="B1" t="str" cm="1">
        <f t="array" aca="1" ref="B1:AA1" ca="1">_xlfn.ANCHORARRAY(SORT!A1)</f>
        <v>Instrument</v>
      </c>
      <c r="C1" t="str">
        <f ca="1"/>
        <v>Name</v>
      </c>
      <c r="D1" t="str">
        <f ca="1"/>
        <v>Ticker</v>
      </c>
      <c r="E1" t="str">
        <f ca="1"/>
        <v>Country/Region</v>
      </c>
      <c r="F1" t="str">
        <f ca="1"/>
        <v>Currency</v>
      </c>
      <c r="G1" t="str">
        <f ca="1"/>
        <v>Maturity</v>
      </c>
      <c r="H1" t="str">
        <f ca="1"/>
        <v>Coupon Type</v>
      </c>
      <c r="I1" t="str">
        <f ca="1"/>
        <v>Coupon Frequency</v>
      </c>
      <c r="J1" t="str">
        <f ca="1"/>
        <v>Coupon</v>
      </c>
      <c r="K1" t="str">
        <f ca="1"/>
        <v>Ask Yield to Maturity</v>
      </c>
      <c r="L1" t="str">
        <f ca="1"/>
        <v>Bid Yield to Maturity</v>
      </c>
      <c r="M1" t="str">
        <f ca="1"/>
        <v>Ask Price</v>
      </c>
      <c r="N1" t="str">
        <f ca="1"/>
        <v>Bid Price</v>
      </c>
      <c r="O1" t="str">
        <f ca="1"/>
        <v>Identifier</v>
      </c>
      <c r="P1" t="str">
        <f ca="1"/>
        <v>ISIN</v>
      </c>
      <c r="Q1" t="str">
        <f ca="1"/>
        <v>Bloomberg Composite Rating</v>
      </c>
      <c r="R1" t="str">
        <f ca="1"/>
        <v>Announce</v>
      </c>
      <c r="S1" t="str">
        <f ca="1"/>
        <v>Next Coupon Settle Date</v>
      </c>
      <c r="T1" s="41" t="str">
        <f ca="1"/>
        <v>Time</v>
      </c>
      <c r="U1" t="str">
        <f ca="1"/>
        <v>AVG Price</v>
      </c>
      <c r="V1" t="str">
        <f ca="1"/>
        <v>ID</v>
      </c>
      <c r="W1" t="str">
        <f ca="1"/>
        <v>TIMEish</v>
      </c>
      <c r="X1" t="str">
        <f ca="1"/>
        <v>years ago</v>
      </c>
      <c r="Y1" t="str">
        <f ca="1"/>
        <v>Accrued Interest</v>
      </c>
      <c r="Z1" t="str">
        <f ca="1"/>
        <v>Clean price</v>
      </c>
      <c r="AA1" t="str">
        <f ca="1"/>
        <v>AVG yield</v>
      </c>
    </row>
    <row r="2" spans="1:27" x14ac:dyDescent="0.4">
      <c r="A2">
        <v>3</v>
      </c>
      <c r="B2" t="str" cm="1">
        <f t="array" aca="1" ref="B2:AA2" ca="1">_xlfn.XLOOKUP(A2,SORT!$U$2:$U$38,_xlfn.ANCHORARRAY(SORT!$A$2),,0)</f>
        <v>LW169500 Corp</v>
      </c>
      <c r="C2" t="str">
        <f ca="1"/>
        <v>Toyota Motor Corp</v>
      </c>
      <c r="D2" t="str">
        <f ca="1"/>
        <v>TOYOTA</v>
      </c>
      <c r="E2" t="str">
        <f ca="1"/>
        <v>JP</v>
      </c>
      <c r="F2" t="str">
        <f ca="1"/>
        <v>JPY</v>
      </c>
      <c r="G2" t="str">
        <f ca="1"/>
        <v>03/06/2026</v>
      </c>
      <c r="H2" t="str">
        <f ca="1"/>
        <v>FIXED</v>
      </c>
      <c r="I2">
        <f ca="1"/>
        <v>2</v>
      </c>
      <c r="J2">
        <f ca="1"/>
        <v>0.09</v>
      </c>
      <c r="K2">
        <f ca="1"/>
        <v>0.86399999999999999</v>
      </c>
      <c r="L2">
        <f ca="1"/>
        <v>1.1339999999999999</v>
      </c>
      <c r="M2">
        <f ca="1"/>
        <v>99.825999999999993</v>
      </c>
      <c r="N2">
        <f ca="1"/>
        <v>99.766000000000005</v>
      </c>
      <c r="O2" t="str">
        <f ca="1"/>
        <v>LW1695003</v>
      </c>
      <c r="P2" t="str">
        <f ca="1"/>
        <v>JP363340AG68</v>
      </c>
      <c r="Q2" t="str">
        <f ca="1"/>
        <v>A+</v>
      </c>
      <c r="R2" t="str">
        <f ca="1"/>
        <v>27/05/2016</v>
      </c>
      <c r="S2" t="str">
        <f ca="1"/>
        <v>03/06/2026</v>
      </c>
      <c r="T2" s="42">
        <f ca="1"/>
        <v>0.17796030116358658</v>
      </c>
      <c r="U2">
        <f ca="1"/>
        <v>99.795999999999992</v>
      </c>
      <c r="V2">
        <f ca="1"/>
        <v>3</v>
      </c>
      <c r="W2">
        <f ca="1"/>
        <v>0</v>
      </c>
      <c r="X2">
        <f ca="1"/>
        <v>10</v>
      </c>
      <c r="Y2">
        <f ca="1"/>
        <v>5.7857142857142857E-2</v>
      </c>
      <c r="Z2">
        <f ca="1"/>
        <v>99.738142857142847</v>
      </c>
      <c r="AA2">
        <f ca="1"/>
        <v>0.99899999999999989</v>
      </c>
    </row>
    <row r="3" spans="1:27" x14ac:dyDescent="0.4">
      <c r="A3">
        <v>18</v>
      </c>
      <c r="B3" t="str" cm="1">
        <f t="array" aca="1" ref="B3:AA3" ca="1">_xlfn.XLOOKUP(A3,SORT!$U$2:$U$38,_xlfn.ANCHORARRAY(SORT!$A$2),,0)</f>
        <v>YT821868 Corp</v>
      </c>
      <c r="C3" t="str">
        <f ca="1"/>
        <v>Toyota Finance Corp</v>
      </c>
      <c r="D3" t="str">
        <f ca="1"/>
        <v>TOYOTA</v>
      </c>
      <c r="E3" t="str">
        <f ca="1"/>
        <v>JP</v>
      </c>
      <c r="F3" t="str">
        <f ca="1"/>
        <v>JPY</v>
      </c>
      <c r="G3" t="str">
        <f ca="1"/>
        <v>11/12/2026</v>
      </c>
      <c r="H3" t="str">
        <f ca="1"/>
        <v>FIXED</v>
      </c>
      <c r="I3">
        <f ca="1"/>
        <v>2</v>
      </c>
      <c r="J3">
        <f ca="1"/>
        <v>0.77300000000000002</v>
      </c>
      <c r="K3">
        <f ca="1"/>
        <v>1.014</v>
      </c>
      <c r="L3">
        <f ca="1"/>
        <v>1.214</v>
      </c>
      <c r="M3">
        <f ca="1"/>
        <v>99.820999999999998</v>
      </c>
      <c r="N3">
        <f ca="1"/>
        <v>99.673000000000002</v>
      </c>
      <c r="O3" t="str">
        <f ca="1"/>
        <v>YT8218687</v>
      </c>
      <c r="P3" t="str">
        <f ca="1"/>
        <v>JP363360AQQ5</v>
      </c>
      <c r="Q3" t="str">
        <f ca="1"/>
        <v>#N/A N/A</v>
      </c>
      <c r="R3" t="str">
        <f ca="1"/>
        <v>06/12/2024</v>
      </c>
      <c r="S3" t="str">
        <f ca="1"/>
        <v>12/06/2026</v>
      </c>
      <c r="T3" s="42">
        <f ca="1"/>
        <v>0.70088980150581792</v>
      </c>
      <c r="U3">
        <f ca="1"/>
        <v>99.747</v>
      </c>
      <c r="V3">
        <f ca="1"/>
        <v>18</v>
      </c>
      <c r="W3">
        <f ca="1"/>
        <v>0.5</v>
      </c>
      <c r="X3">
        <f ca="1"/>
        <v>2</v>
      </c>
      <c r="Y3">
        <f ca="1"/>
        <v>0.45870329670329674</v>
      </c>
      <c r="Z3">
        <f ca="1"/>
        <v>99.288296703296709</v>
      </c>
      <c r="AA3">
        <f ca="1"/>
        <v>1.1139999999999999</v>
      </c>
    </row>
    <row r="4" spans="1:27" x14ac:dyDescent="0.4">
      <c r="A4">
        <v>29</v>
      </c>
      <c r="B4" t="str" cm="1">
        <f t="array" aca="1" ref="B4:AA4" ca="1">_xlfn.XLOOKUP(A4,SORT!$U$2:$U$38,_xlfn.ANCHORARRAY(SORT!$A$2),,0)</f>
        <v>AO295977 Corp</v>
      </c>
      <c r="C4" t="str">
        <f ca="1"/>
        <v>Toyota Finance Corp</v>
      </c>
      <c r="D4" t="str">
        <f ca="1"/>
        <v>TOYOTA</v>
      </c>
      <c r="E4" t="str">
        <f ca="1"/>
        <v>JP</v>
      </c>
      <c r="F4" t="str">
        <f ca="1"/>
        <v>JPY</v>
      </c>
      <c r="G4" t="str">
        <f ca="1"/>
        <v>23/07/2027</v>
      </c>
      <c r="H4" t="str">
        <f ca="1"/>
        <v>FIXED</v>
      </c>
      <c r="I4">
        <f ca="1"/>
        <v>2</v>
      </c>
      <c r="J4">
        <f ca="1"/>
        <v>0.26500000000000001</v>
      </c>
      <c r="K4">
        <f ca="1"/>
        <v>1.3460000000000001</v>
      </c>
      <c r="L4">
        <f ca="1"/>
        <v>1.3599999999999999</v>
      </c>
      <c r="M4">
        <f ca="1"/>
        <v>98.552999999999997</v>
      </c>
      <c r="N4">
        <f ca="1"/>
        <v>98.534000000000006</v>
      </c>
      <c r="O4" t="str">
        <f ca="1"/>
        <v>AO2959770</v>
      </c>
      <c r="P4" t="str">
        <f ca="1"/>
        <v>JP363360CH78</v>
      </c>
      <c r="Q4" t="str">
        <f ca="1"/>
        <v>A+</v>
      </c>
      <c r="R4" t="str">
        <f ca="1"/>
        <v>14/07/2017</v>
      </c>
      <c r="S4" t="str">
        <f ca="1"/>
        <v>24/07/2026</v>
      </c>
      <c r="T4" s="42">
        <f ca="1"/>
        <v>1.3141683778234086</v>
      </c>
      <c r="U4">
        <f ca="1"/>
        <v>98.543499999999995</v>
      </c>
      <c r="V4">
        <f ca="1"/>
        <v>29</v>
      </c>
      <c r="W4">
        <f ca="1"/>
        <v>1</v>
      </c>
      <c r="X4">
        <f ca="1"/>
        <v>9</v>
      </c>
      <c r="Y4">
        <f ca="1"/>
        <v>9.4642857142857154E-2</v>
      </c>
      <c r="Z4">
        <f ca="1"/>
        <v>98.448857142857136</v>
      </c>
      <c r="AA4">
        <f ca="1"/>
        <v>1.353</v>
      </c>
    </row>
    <row r="5" spans="1:27" x14ac:dyDescent="0.4">
      <c r="A5">
        <v>23</v>
      </c>
      <c r="B5" t="str" cm="1">
        <f t="array" aca="1" ref="B5:AA5" ca="1">_xlfn.XLOOKUP(A5,SORT!$U$2:$U$38,_xlfn.ANCHORARRAY(SORT!$A$2),,0)</f>
        <v>YT967931 Corp</v>
      </c>
      <c r="C5" t="str">
        <f ca="1"/>
        <v>Toyota Finance Corp</v>
      </c>
      <c r="D5" t="str">
        <f ca="1"/>
        <v>TOYOTA</v>
      </c>
      <c r="E5" t="str">
        <f ca="1"/>
        <v>JP</v>
      </c>
      <c r="F5" t="str">
        <f ca="1"/>
        <v>JPY</v>
      </c>
      <c r="G5" t="str">
        <f ca="1"/>
        <v>21/01/2028</v>
      </c>
      <c r="H5" t="str">
        <f ca="1"/>
        <v>FIXED</v>
      </c>
      <c r="I5">
        <f ca="1"/>
        <v>2</v>
      </c>
      <c r="J5">
        <f ca="1"/>
        <v>0.9</v>
      </c>
      <c r="K5">
        <f ca="1"/>
        <v>1.452</v>
      </c>
      <c r="L5">
        <f ca="1"/>
        <v>1.464</v>
      </c>
      <c r="M5">
        <f ca="1"/>
        <v>99</v>
      </c>
      <c r="N5">
        <f ca="1"/>
        <v>98.977999999999994</v>
      </c>
      <c r="O5" t="str">
        <f ca="1"/>
        <v>YT9679317</v>
      </c>
      <c r="P5" t="str">
        <f ca="1"/>
        <v>JP363360AR11</v>
      </c>
      <c r="Q5" t="str">
        <f ca="1"/>
        <v>A+</v>
      </c>
      <c r="R5" t="str">
        <f ca="1"/>
        <v>17/01/2025</v>
      </c>
      <c r="S5" t="str">
        <f ca="1"/>
        <v>23/07/2026</v>
      </c>
      <c r="T5" s="42">
        <f ca="1"/>
        <v>1.8124572210814511</v>
      </c>
      <c r="U5">
        <f ca="1"/>
        <v>98.989000000000004</v>
      </c>
      <c r="V5">
        <f ca="1"/>
        <v>23</v>
      </c>
      <c r="W5">
        <f ca="1"/>
        <v>1.5</v>
      </c>
      <c r="X5">
        <f ca="1"/>
        <v>1</v>
      </c>
      <c r="Y5">
        <f ca="1"/>
        <v>0.32637362637362638</v>
      </c>
      <c r="Z5">
        <f ca="1"/>
        <v>98.662626373626381</v>
      </c>
      <c r="AA5">
        <f ca="1"/>
        <v>1.458</v>
      </c>
    </row>
    <row r="6" spans="1:27" x14ac:dyDescent="0.4">
      <c r="A6">
        <v>12</v>
      </c>
      <c r="B6" t="str" cm="1">
        <f t="array" aca="1" ref="B6:AA6" ca="1">_xlfn.XLOOKUP(A6,SORT!$U$2:$U$38,_xlfn.ANCHORARRAY(SORT!$A$2),,0)</f>
        <v>YN599935 Corp</v>
      </c>
      <c r="C6" t="str">
        <f ca="1"/>
        <v>Toyota Finance Corp</v>
      </c>
      <c r="D6" t="str">
        <f ca="1"/>
        <v>TOYOTA</v>
      </c>
      <c r="E6" t="str">
        <f ca="1"/>
        <v>JP</v>
      </c>
      <c r="F6" t="str">
        <f ca="1"/>
        <v>JPY</v>
      </c>
      <c r="G6" t="str">
        <f ca="1"/>
        <v>21/07/2028</v>
      </c>
      <c r="H6" t="str">
        <f ca="1"/>
        <v>FIXED</v>
      </c>
      <c r="I6">
        <f ca="1"/>
        <v>2</v>
      </c>
      <c r="J6">
        <f ca="1"/>
        <v>1.0820000000000001</v>
      </c>
      <c r="K6">
        <f ca="1"/>
        <v>1.468</v>
      </c>
      <c r="L6">
        <f ca="1"/>
        <v>1.5209999999999999</v>
      </c>
      <c r="M6">
        <f ca="1"/>
        <v>99.12</v>
      </c>
      <c r="N6">
        <f ca="1"/>
        <v>98.998999999999995</v>
      </c>
      <c r="O6" t="str">
        <f ca="1"/>
        <v>YN5999357</v>
      </c>
      <c r="P6" t="str">
        <f ca="1"/>
        <v>JP363360BR77</v>
      </c>
      <c r="Q6" t="str">
        <f ca="1"/>
        <v>A+</v>
      </c>
      <c r="R6" t="str">
        <f ca="1"/>
        <v>15/07/2025</v>
      </c>
      <c r="S6" t="str">
        <f ca="1"/>
        <v>22/07/2026</v>
      </c>
      <c r="T6" s="42">
        <f ca="1"/>
        <v>2.3107460643394937</v>
      </c>
      <c r="U6">
        <f ca="1"/>
        <v>99.0595</v>
      </c>
      <c r="V6">
        <f ca="1"/>
        <v>12</v>
      </c>
      <c r="W6">
        <f ca="1"/>
        <v>2</v>
      </c>
      <c r="X6">
        <f ca="1"/>
        <v>1</v>
      </c>
      <c r="Y6">
        <f ca="1"/>
        <v>0.39831868131868137</v>
      </c>
      <c r="Z6">
        <f ca="1"/>
        <v>98.661181318681315</v>
      </c>
      <c r="AA6">
        <f ca="1"/>
        <v>1.4944999999999999</v>
      </c>
    </row>
    <row r="7" spans="1:27" x14ac:dyDescent="0.4">
      <c r="A7">
        <v>35</v>
      </c>
      <c r="B7" t="str" cm="1">
        <f t="array" aca="1" ref="B7:AA7" ca="1">_xlfn.XLOOKUP(A7,SORT!$U$2:$U$38,_xlfn.ANCHORARRAY(SORT!$A$2),,0)</f>
        <v>ZS613802 Corp</v>
      </c>
      <c r="C7" t="str">
        <f ca="1"/>
        <v>Toyota Motor Corp</v>
      </c>
      <c r="D7" t="str">
        <f ca="1"/>
        <v>TOYOTA</v>
      </c>
      <c r="E7" t="str">
        <f ca="1"/>
        <v>JP</v>
      </c>
      <c r="F7" t="str">
        <f ca="1"/>
        <v>JPY</v>
      </c>
      <c r="G7" t="str">
        <f ca="1"/>
        <v>24/05/2029</v>
      </c>
      <c r="H7" t="str">
        <f ca="1"/>
        <v>FIXED</v>
      </c>
      <c r="I7">
        <f ca="1"/>
        <v>2</v>
      </c>
      <c r="J7">
        <f ca="1"/>
        <v>0.15</v>
      </c>
      <c r="K7">
        <f ca="1"/>
        <v>1.653</v>
      </c>
      <c r="L7">
        <f ca="1"/>
        <v>1.665</v>
      </c>
      <c r="M7">
        <f ca="1"/>
        <v>95.435000000000002</v>
      </c>
      <c r="N7">
        <f ca="1"/>
        <v>95.4</v>
      </c>
      <c r="O7" t="str">
        <f ca="1"/>
        <v>ZS6138029</v>
      </c>
      <c r="P7" t="str">
        <f ca="1"/>
        <v>JP363340BK53</v>
      </c>
      <c r="Q7" t="str">
        <f ca="1"/>
        <v>A+</v>
      </c>
      <c r="R7" t="str">
        <f ca="1"/>
        <v>17/05/2019</v>
      </c>
      <c r="S7" t="str">
        <f ca="1"/>
        <v>22/05/2026</v>
      </c>
      <c r="T7" s="42">
        <f ca="1"/>
        <v>3.1512662559890487</v>
      </c>
      <c r="U7">
        <f ca="1"/>
        <v>95.417500000000004</v>
      </c>
      <c r="V7">
        <f ca="1"/>
        <v>35</v>
      </c>
      <c r="W7">
        <f ca="1"/>
        <v>3</v>
      </c>
      <c r="X7">
        <f ca="1"/>
        <v>7</v>
      </c>
      <c r="Y7">
        <f ca="1"/>
        <v>0.10549450549450549</v>
      </c>
      <c r="Z7">
        <f ca="1"/>
        <v>95.312005494505499</v>
      </c>
      <c r="AA7">
        <f ca="1"/>
        <v>1.659</v>
      </c>
    </row>
    <row r="8" spans="1:27" x14ac:dyDescent="0.4">
      <c r="A8">
        <v>25</v>
      </c>
      <c r="B8" t="str" cm="1">
        <f t="array" aca="1" ref="B8:AA8" ca="1">_xlfn.XLOOKUP(A8,SORT!$U$2:$U$38,_xlfn.ANCHORARRAY(SORT!$A$2),,0)</f>
        <v>YV793180 Corp</v>
      </c>
      <c r="C8" t="str">
        <f ca="1"/>
        <v>Toyota Finance Corp</v>
      </c>
      <c r="D8" t="str">
        <f ca="1"/>
        <v>TOYOTA</v>
      </c>
      <c r="E8" t="str">
        <f ca="1"/>
        <v>JP</v>
      </c>
      <c r="F8" t="str">
        <f ca="1"/>
        <v>JPY</v>
      </c>
      <c r="G8" t="str">
        <f ca="1"/>
        <v>10/10/2029</v>
      </c>
      <c r="H8" t="str">
        <f ca="1"/>
        <v>FIXED</v>
      </c>
      <c r="I8">
        <f ca="1"/>
        <v>2</v>
      </c>
      <c r="J8">
        <f ca="1"/>
        <v>0.71</v>
      </c>
      <c r="K8">
        <f ca="1"/>
        <v>1.77</v>
      </c>
      <c r="L8">
        <f ca="1"/>
        <v>1.77</v>
      </c>
      <c r="M8">
        <f ca="1"/>
        <v>96.433000000000007</v>
      </c>
      <c r="N8">
        <f ca="1"/>
        <v>96.433000000000007</v>
      </c>
      <c r="O8" t="str">
        <f ca="1"/>
        <v>YV7931806</v>
      </c>
      <c r="P8" t="str">
        <f ca="1"/>
        <v>JP363360BQA7</v>
      </c>
      <c r="Q8" t="str">
        <f ca="1"/>
        <v>A+</v>
      </c>
      <c r="R8" t="str">
        <f ca="1"/>
        <v>04/10/2024</v>
      </c>
      <c r="S8" t="str">
        <f ca="1"/>
        <v>10/04/2026</v>
      </c>
      <c r="T8" s="42">
        <f ca="1"/>
        <v>3.5318275154004106</v>
      </c>
      <c r="U8">
        <f ca="1"/>
        <v>96.433000000000007</v>
      </c>
      <c r="V8">
        <f ca="1"/>
        <v>25</v>
      </c>
      <c r="W8">
        <f ca="1"/>
        <v>3.5</v>
      </c>
      <c r="X8">
        <f ca="1"/>
        <v>2</v>
      </c>
      <c r="Y8">
        <f ca="1"/>
        <v>0.66708791208791207</v>
      </c>
      <c r="Z8">
        <f ca="1"/>
        <v>95.765912087912099</v>
      </c>
      <c r="AA8">
        <f ca="1"/>
        <v>1.77</v>
      </c>
    </row>
    <row r="9" spans="1:27" x14ac:dyDescent="0.4">
      <c r="A9">
        <v>19</v>
      </c>
      <c r="B9" t="str" cm="1">
        <f t="array" aca="1" ref="B9:AA9" ca="1">_xlfn.XLOOKUP(A9,SORT!$U$2:$U$38,_xlfn.ANCHORARRAY(SORT!$A$2),,0)</f>
        <v>YT968038 Corp</v>
      </c>
      <c r="C9" t="str">
        <f ca="1"/>
        <v>Toyota Finance Corp</v>
      </c>
      <c r="D9" t="str">
        <f ca="1"/>
        <v>TOYOTA</v>
      </c>
      <c r="E9" t="str">
        <f ca="1"/>
        <v>JP</v>
      </c>
      <c r="F9" t="str">
        <f ca="1"/>
        <v>JPY</v>
      </c>
      <c r="G9" t="str">
        <f ca="1"/>
        <v>23/01/2030</v>
      </c>
      <c r="H9" t="str">
        <f ca="1"/>
        <v>FIXED</v>
      </c>
      <c r="I9">
        <f ca="1"/>
        <v>2</v>
      </c>
      <c r="J9">
        <f ca="1"/>
        <v>1.0509999999999999</v>
      </c>
      <c r="K9">
        <f ca="1"/>
        <v>1.8090000000000002</v>
      </c>
      <c r="L9">
        <f ca="1"/>
        <v>1.8090000000000002</v>
      </c>
      <c r="M9">
        <f ca="1"/>
        <v>97.260999999999996</v>
      </c>
      <c r="N9">
        <f ca="1"/>
        <v>97.260999999999996</v>
      </c>
      <c r="O9" t="str">
        <f ca="1"/>
        <v>YT9680380</v>
      </c>
      <c r="P9" t="str">
        <f ca="1"/>
        <v>JP363360BR10</v>
      </c>
      <c r="Q9" t="str">
        <f ca="1"/>
        <v>A+</v>
      </c>
      <c r="R9" t="str">
        <f ca="1"/>
        <v>17/01/2025</v>
      </c>
      <c r="S9" t="str">
        <f ca="1"/>
        <v>23/07/2026</v>
      </c>
      <c r="T9" s="42">
        <f ca="1"/>
        <v>3.8193018480492813</v>
      </c>
      <c r="U9">
        <f ca="1"/>
        <v>97.260999999999996</v>
      </c>
      <c r="V9">
        <f ca="1"/>
        <v>19</v>
      </c>
      <c r="W9">
        <f ca="1"/>
        <v>3.5</v>
      </c>
      <c r="X9">
        <f ca="1"/>
        <v>1</v>
      </c>
      <c r="Y9">
        <f ca="1"/>
        <v>0.38113186813186811</v>
      </c>
      <c r="Z9">
        <f ca="1"/>
        <v>96.879868131868122</v>
      </c>
      <c r="AA9">
        <f ca="1"/>
        <v>1.8090000000000002</v>
      </c>
    </row>
    <row r="10" spans="1:27" x14ac:dyDescent="0.4">
      <c r="A10">
        <v>9</v>
      </c>
      <c r="B10" t="str" cm="1">
        <f t="array" aca="1" ref="B10:AA10" ca="1">_xlfn.XLOOKUP(A10,SORT!$U$2:$U$38,_xlfn.ANCHORARRAY(SORT!$A$2),,0)</f>
        <v>YL396232 Corp</v>
      </c>
      <c r="C10" t="str">
        <f ca="1"/>
        <v>Toyota Motor Corp</v>
      </c>
      <c r="D10" t="str">
        <f ca="1"/>
        <v>TOYOTA</v>
      </c>
      <c r="E10" t="str">
        <f ca="1"/>
        <v>JP</v>
      </c>
      <c r="F10" t="str">
        <f ca="1"/>
        <v>JPY</v>
      </c>
      <c r="G10" t="str">
        <f ca="1"/>
        <v>04/09/2030</v>
      </c>
      <c r="H10" t="str">
        <f ca="1"/>
        <v>FIXED</v>
      </c>
      <c r="I10">
        <f ca="1"/>
        <v>2</v>
      </c>
      <c r="J10">
        <f ca="1"/>
        <v>1.296</v>
      </c>
      <c r="K10">
        <f ca="1"/>
        <v>1.8380000000000001</v>
      </c>
      <c r="L10">
        <f ca="1"/>
        <v>1.8380000000000001</v>
      </c>
      <c r="M10">
        <f ca="1"/>
        <v>97.756</v>
      </c>
      <c r="N10">
        <f ca="1"/>
        <v>97.756</v>
      </c>
      <c r="O10" t="str">
        <f ca="1"/>
        <v>YL3962328</v>
      </c>
      <c r="P10" t="str">
        <f ca="1"/>
        <v>JP363340BR98</v>
      </c>
      <c r="Q10" t="str">
        <f ca="1"/>
        <v>A+</v>
      </c>
      <c r="R10" t="str">
        <f ca="1"/>
        <v>29/08/2025</v>
      </c>
      <c r="S10" t="str">
        <f ca="1"/>
        <v>04/09/2026</v>
      </c>
      <c r="T10" s="42">
        <f ca="1"/>
        <v>4.4325804243668721</v>
      </c>
      <c r="U10">
        <f ca="1"/>
        <v>97.756</v>
      </c>
      <c r="V10">
        <f ca="1"/>
        <v>9</v>
      </c>
      <c r="W10">
        <f ca="1"/>
        <v>4</v>
      </c>
      <c r="X10">
        <f ca="1"/>
        <v>1</v>
      </c>
      <c r="Y10">
        <f ca="1"/>
        <v>0.18514285714285714</v>
      </c>
      <c r="Z10">
        <f ca="1"/>
        <v>97.570857142857136</v>
      </c>
      <c r="AA10">
        <f ca="1"/>
        <v>1.8380000000000001</v>
      </c>
    </row>
    <row r="11" spans="1:27" x14ac:dyDescent="0.4">
      <c r="A11">
        <v>10</v>
      </c>
      <c r="B11" t="str" cm="1">
        <f t="array" aca="1" ref="B11:AA11" ca="1">_xlfn.XLOOKUP(A11,SORT!$U$2:$U$38,_xlfn.ANCHORARRAY(SORT!$A$2),,0)</f>
        <v>YK173563 Corp</v>
      </c>
      <c r="C11" t="str">
        <f ca="1"/>
        <v>Toyota Finance Corp</v>
      </c>
      <c r="D11" t="str">
        <f ca="1"/>
        <v>TOYOTA</v>
      </c>
      <c r="E11" t="str">
        <f ca="1"/>
        <v>JP</v>
      </c>
      <c r="F11" t="str">
        <f ca="1"/>
        <v>JPY</v>
      </c>
      <c r="G11" t="str">
        <f ca="1"/>
        <v>17/10/2030</v>
      </c>
      <c r="H11" t="str">
        <f ca="1"/>
        <v>FIXED</v>
      </c>
      <c r="I11">
        <f ca="1"/>
        <v>2</v>
      </c>
      <c r="J11">
        <f ca="1"/>
        <v>1.4930000000000001</v>
      </c>
      <c r="K11">
        <f ca="1"/>
        <v>1.8879999999999999</v>
      </c>
      <c r="L11">
        <f ca="1"/>
        <v>1.8879999999999999</v>
      </c>
      <c r="M11">
        <f ca="1"/>
        <v>98.328999999999994</v>
      </c>
      <c r="N11">
        <f ca="1"/>
        <v>98.328999999999994</v>
      </c>
      <c r="O11" t="str">
        <f ca="1"/>
        <v>YK1735637</v>
      </c>
      <c r="P11" t="str">
        <f ca="1"/>
        <v>JP363360ARA7</v>
      </c>
      <c r="Q11" t="str">
        <f ca="1"/>
        <v>A+</v>
      </c>
      <c r="R11" t="str">
        <f ca="1"/>
        <v>10/10/2025</v>
      </c>
      <c r="S11" t="str">
        <f ca="1"/>
        <v>17/04/2026</v>
      </c>
      <c r="T11" s="42">
        <f ca="1"/>
        <v>4.5503080082135527</v>
      </c>
      <c r="U11">
        <f ca="1"/>
        <v>98.328999999999994</v>
      </c>
      <c r="V11">
        <f ca="1"/>
        <v>10</v>
      </c>
      <c r="W11">
        <f ca="1"/>
        <v>4.5</v>
      </c>
      <c r="X11">
        <f ca="1"/>
        <v>1</v>
      </c>
      <c r="Y11">
        <f ca="1"/>
        <v>1.3453406593406594</v>
      </c>
      <c r="Z11">
        <f ca="1"/>
        <v>96.983659340659329</v>
      </c>
      <c r="AA11">
        <f ca="1"/>
        <v>1.8879999999999999</v>
      </c>
    </row>
    <row r="12" spans="1:27" x14ac:dyDescent="0.4">
      <c r="A12">
        <v>5</v>
      </c>
      <c r="B12" t="str" cm="1">
        <f t="array" aca="1" ref="B12:AA12" ca="1">_xlfn.XLOOKUP(A12,SORT!$U$2:$U$38,_xlfn.ANCHORARRAY(SORT!$A$2),,0)</f>
        <v>BO356983 Corp</v>
      </c>
      <c r="C12" t="str">
        <f ca="1"/>
        <v>Toyota Motor Corp</v>
      </c>
      <c r="D12" t="str">
        <f ca="1"/>
        <v>TOYOTA</v>
      </c>
      <c r="E12" t="str">
        <f ca="1"/>
        <v>JP</v>
      </c>
      <c r="F12" t="str">
        <f ca="1"/>
        <v>JPY</v>
      </c>
      <c r="G12" t="str">
        <f ca="1"/>
        <v>18/03/2031</v>
      </c>
      <c r="H12" t="str">
        <f ca="1"/>
        <v>FIXED</v>
      </c>
      <c r="I12">
        <f ca="1"/>
        <v>2</v>
      </c>
      <c r="J12">
        <f ca="1"/>
        <v>0.219</v>
      </c>
      <c r="K12">
        <f ca="1"/>
        <v>1.982</v>
      </c>
      <c r="L12">
        <f ca="1"/>
        <v>1.982</v>
      </c>
      <c r="M12">
        <f ca="1"/>
        <v>91.959000000000003</v>
      </c>
      <c r="N12">
        <f ca="1"/>
        <v>91.959000000000003</v>
      </c>
      <c r="O12" t="str">
        <f ca="1"/>
        <v>BO3569833</v>
      </c>
      <c r="P12" t="str">
        <f ca="1"/>
        <v>JP363340CM35</v>
      </c>
      <c r="Q12" t="str">
        <f ca="1"/>
        <v>A+</v>
      </c>
      <c r="R12" t="str">
        <f ca="1"/>
        <v>12/03/2021</v>
      </c>
      <c r="S12" t="str">
        <f ca="1"/>
        <v>18/03/2026</v>
      </c>
      <c r="T12" s="42">
        <f ca="1"/>
        <v>4.9664613278576315</v>
      </c>
      <c r="U12">
        <f ca="1"/>
        <v>91.959000000000003</v>
      </c>
      <c r="V12">
        <f ca="1"/>
        <v>5</v>
      </c>
      <c r="W12">
        <f ca="1"/>
        <v>4.5</v>
      </c>
      <c r="X12">
        <f ca="1"/>
        <v>5</v>
      </c>
      <c r="Y12">
        <f ca="1"/>
        <v>0.23223626373626374</v>
      </c>
      <c r="Z12">
        <f ca="1"/>
        <v>91.726763736263734</v>
      </c>
      <c r="AA12">
        <f ca="1"/>
        <v>1.982</v>
      </c>
    </row>
    <row r="13" spans="1:27" x14ac:dyDescent="0.4">
      <c r="A13">
        <v>16</v>
      </c>
      <c r="B13" t="str" cm="1">
        <f t="array" aca="1" ref="B13:AA13" ca="1">_xlfn.XLOOKUP(A13,SORT!$U$2:$U$38,_xlfn.ANCHORARRAY(SORT!$A$2),,0)</f>
        <v>YS631917 Corp</v>
      </c>
      <c r="C13" t="str">
        <f ca="1"/>
        <v>Toyota Finance Corp</v>
      </c>
      <c r="D13" t="str">
        <f ca="1"/>
        <v>TOYOTA</v>
      </c>
      <c r="E13" t="str">
        <f ca="1"/>
        <v>JP</v>
      </c>
      <c r="F13" t="str">
        <f ca="1"/>
        <v>JPY</v>
      </c>
      <c r="G13" t="str">
        <f ca="1"/>
        <v>23/01/2032</v>
      </c>
      <c r="H13" t="str">
        <f ca="1"/>
        <v>FIXED</v>
      </c>
      <c r="I13">
        <f ca="1"/>
        <v>2</v>
      </c>
      <c r="J13">
        <f ca="1"/>
        <v>1.18</v>
      </c>
      <c r="K13">
        <f ca="1"/>
        <v>2.0880000000000001</v>
      </c>
      <c r="L13">
        <f ca="1"/>
        <v>2.0880000000000001</v>
      </c>
      <c r="M13">
        <f ca="1"/>
        <v>95.254999999999995</v>
      </c>
      <c r="N13">
        <f ca="1"/>
        <v>95.254999999999995</v>
      </c>
      <c r="O13" t="str">
        <f ca="1"/>
        <v>YS6319174</v>
      </c>
      <c r="P13" t="str">
        <f ca="1"/>
        <v>JP363360CR19</v>
      </c>
      <c r="Q13" t="str">
        <f ca="1"/>
        <v>A+</v>
      </c>
      <c r="R13" t="str">
        <f ca="1"/>
        <v>17/01/2025</v>
      </c>
      <c r="S13" t="str">
        <f ca="1"/>
        <v>23/07/2026</v>
      </c>
      <c r="T13" s="42">
        <f ca="1"/>
        <v>5.8179329226557153</v>
      </c>
      <c r="U13">
        <f ca="1"/>
        <v>95.254999999999995</v>
      </c>
      <c r="V13">
        <f ca="1"/>
        <v>16</v>
      </c>
      <c r="W13">
        <f ca="1"/>
        <v>5.5</v>
      </c>
      <c r="X13">
        <f ca="1"/>
        <v>1</v>
      </c>
      <c r="Y13">
        <f ca="1"/>
        <v>0.4279120879120879</v>
      </c>
      <c r="Z13">
        <f ca="1"/>
        <v>94.827087912087904</v>
      </c>
      <c r="AA13">
        <f ca="1"/>
        <v>2.0880000000000001</v>
      </c>
    </row>
    <row r="14" spans="1:27" x14ac:dyDescent="0.4">
      <c r="A14">
        <v>17</v>
      </c>
      <c r="B14" t="str" cm="1">
        <f t="array" aca="1" ref="B14:AA14" ca="1">_xlfn.XLOOKUP(A14,SORT!$U$2:$U$38,_xlfn.ANCHORARRAY(SORT!$A$2),,0)</f>
        <v>BW601183 Corp</v>
      </c>
      <c r="C14" t="str">
        <f ca="1"/>
        <v>Toyota Motor Corp</v>
      </c>
      <c r="D14" t="str">
        <f ca="1"/>
        <v>TOYOTA</v>
      </c>
      <c r="E14" t="str">
        <f ca="1"/>
        <v>JP</v>
      </c>
      <c r="F14" t="str">
        <f ca="1"/>
        <v>JPY</v>
      </c>
      <c r="G14" t="str">
        <f ca="1"/>
        <v>02/06/2032</v>
      </c>
      <c r="H14" t="str">
        <f ca="1"/>
        <v>FIXED</v>
      </c>
      <c r="I14">
        <f ca="1"/>
        <v>2</v>
      </c>
      <c r="J14">
        <f ca="1"/>
        <v>0.32400000000000001</v>
      </c>
      <c r="K14">
        <f ca="1"/>
        <v>2.1549999999999998</v>
      </c>
      <c r="L14">
        <f ca="1"/>
        <v>2.1549999999999998</v>
      </c>
      <c r="M14">
        <f ca="1"/>
        <v>89.953999999999994</v>
      </c>
      <c r="N14">
        <f ca="1"/>
        <v>89.953999999999994</v>
      </c>
      <c r="O14" t="str">
        <f ca="1"/>
        <v>BW6011835</v>
      </c>
      <c r="P14" t="str">
        <f ca="1"/>
        <v>JP363340BN68</v>
      </c>
      <c r="Q14" t="str">
        <f ca="1"/>
        <v>A+</v>
      </c>
      <c r="R14" t="str">
        <f ca="1"/>
        <v>27/05/2022</v>
      </c>
      <c r="S14" t="str">
        <f ca="1"/>
        <v>02/06/2026</v>
      </c>
      <c r="T14" s="42">
        <f ca="1"/>
        <v>6.1765913757700206</v>
      </c>
      <c r="U14">
        <f ca="1"/>
        <v>89.953999999999994</v>
      </c>
      <c r="V14">
        <f ca="1"/>
        <v>17</v>
      </c>
      <c r="W14">
        <f ca="1"/>
        <v>6</v>
      </c>
      <c r="X14">
        <f ca="1"/>
        <v>4</v>
      </c>
      <c r="Y14">
        <f ca="1"/>
        <v>0.21006593406593407</v>
      </c>
      <c r="Z14">
        <f ca="1"/>
        <v>89.743934065934056</v>
      </c>
      <c r="AA14">
        <f ca="1"/>
        <v>2.1549999999999998</v>
      </c>
    </row>
    <row r="15" spans="1:27" x14ac:dyDescent="0.4">
      <c r="A15">
        <v>22</v>
      </c>
      <c r="B15" t="str" cm="1">
        <f t="array" aca="1" ref="B15:AA15" ca="1">_xlfn.XLOOKUP(A15,SORT!$U$2:$U$38,_xlfn.ANCHORARRAY(SORT!$A$2),,0)</f>
        <v>YK943560 Corp</v>
      </c>
      <c r="C15" t="str">
        <f ca="1"/>
        <v>Toyota Finance Corp</v>
      </c>
      <c r="D15" t="str">
        <f ca="1"/>
        <v>TOYOTA</v>
      </c>
      <c r="E15" t="str">
        <f ca="1"/>
        <v>JP</v>
      </c>
      <c r="F15" t="str">
        <f ca="1"/>
        <v>JPY</v>
      </c>
      <c r="G15" t="str">
        <f ca="1"/>
        <v>15/10/2032</v>
      </c>
      <c r="H15" t="str">
        <f ca="1"/>
        <v>FIXED</v>
      </c>
      <c r="I15">
        <f ca="1"/>
        <v>2</v>
      </c>
      <c r="J15">
        <f ca="1"/>
        <v>1.708</v>
      </c>
      <c r="K15">
        <f ca="1"/>
        <v>2.1469999999999998</v>
      </c>
      <c r="L15">
        <f ca="1"/>
        <v>2.1469999999999998</v>
      </c>
      <c r="M15">
        <f ca="1"/>
        <v>97.463999999999999</v>
      </c>
      <c r="N15">
        <f ca="1"/>
        <v>97.463999999999999</v>
      </c>
      <c r="O15" t="str">
        <f ca="1"/>
        <v>YK9435602</v>
      </c>
      <c r="P15" t="str">
        <f ca="1"/>
        <v>JP363360BRA5</v>
      </c>
      <c r="Q15" t="str">
        <f ca="1"/>
        <v>A+</v>
      </c>
      <c r="R15" t="str">
        <f ca="1"/>
        <v>10/10/2025</v>
      </c>
      <c r="S15" t="str">
        <f ca="1"/>
        <v>17/04/2026</v>
      </c>
      <c r="T15" s="42">
        <f ca="1"/>
        <v>6.5462012320328542</v>
      </c>
      <c r="U15">
        <f ca="1"/>
        <v>97.463999999999999</v>
      </c>
      <c r="V15">
        <f ca="1"/>
        <v>22</v>
      </c>
      <c r="W15">
        <f ca="1"/>
        <v>6.5</v>
      </c>
      <c r="X15">
        <f ca="1"/>
        <v>1</v>
      </c>
      <c r="Y15">
        <f ca="1"/>
        <v>1.539076923076923</v>
      </c>
      <c r="Z15">
        <f ca="1"/>
        <v>95.924923076923079</v>
      </c>
      <c r="AA15">
        <f ca="1"/>
        <v>2.1469999999999998</v>
      </c>
    </row>
    <row r="16" spans="1:27" x14ac:dyDescent="0.4">
      <c r="A16">
        <v>27</v>
      </c>
      <c r="B16" t="str" cm="1">
        <f t="array" aca="1" ref="B16:AA16" ca="1">_xlfn.XLOOKUP(A16,SORT!$U$2:$U$38,_xlfn.ANCHORARRAY(SORT!$A$2),,0)</f>
        <v>ZK701516 Corp</v>
      </c>
      <c r="C16" t="str">
        <f ca="1"/>
        <v>Toyota Motor Corp</v>
      </c>
      <c r="D16" t="str">
        <f ca="1"/>
        <v>TOYOTA</v>
      </c>
      <c r="E16" t="str">
        <f ca="1"/>
        <v>JP</v>
      </c>
      <c r="F16" t="str">
        <f ca="1"/>
        <v>JPY</v>
      </c>
      <c r="G16" t="str">
        <f ca="1"/>
        <v>01/06/2033</v>
      </c>
      <c r="H16" t="str">
        <f ca="1"/>
        <v>FIXED</v>
      </c>
      <c r="I16">
        <f ca="1"/>
        <v>2</v>
      </c>
      <c r="J16">
        <f ca="1"/>
        <v>0.73499999999999999</v>
      </c>
      <c r="K16">
        <f ca="1"/>
        <v>2.2589999999964094</v>
      </c>
      <c r="L16">
        <f ca="1"/>
        <v>2.2589999999964094</v>
      </c>
      <c r="M16">
        <f ca="1"/>
        <v>90.54</v>
      </c>
      <c r="N16">
        <f ca="1"/>
        <v>90.54</v>
      </c>
      <c r="O16" t="str">
        <f ca="1"/>
        <v>ZK7015165</v>
      </c>
      <c r="P16" t="str">
        <f ca="1"/>
        <v>JP363340BP66</v>
      </c>
      <c r="Q16" t="str">
        <f ca="1"/>
        <v>A+</v>
      </c>
      <c r="R16" t="str">
        <f ca="1"/>
        <v>26/05/2023</v>
      </c>
      <c r="S16" t="str">
        <f ca="1"/>
        <v>01/06/2026</v>
      </c>
      <c r="T16" s="42">
        <f ca="1"/>
        <v>7.1731690622861057</v>
      </c>
      <c r="U16">
        <f ca="1"/>
        <v>90.54</v>
      </c>
      <c r="V16">
        <f ca="1"/>
        <v>27</v>
      </c>
      <c r="W16">
        <f ca="1"/>
        <v>7</v>
      </c>
      <c r="X16">
        <f ca="1"/>
        <v>3</v>
      </c>
      <c r="Y16">
        <f ca="1"/>
        <v>0.48057692307692307</v>
      </c>
      <c r="Z16">
        <f ca="1"/>
        <v>90.059423076923082</v>
      </c>
      <c r="AA16">
        <f ca="1"/>
        <v>2.2589999999964094</v>
      </c>
    </row>
    <row r="17" spans="1:27" x14ac:dyDescent="0.4">
      <c r="A17">
        <v>1</v>
      </c>
      <c r="B17" t="str" cm="1">
        <f t="array" aca="1" ref="B17:AA17" ca="1">_xlfn.XLOOKUP(A17,SORT!$U$2:$U$38,_xlfn.ANCHORARRAY(SORT!$A$2),,0)</f>
        <v>YL396238 Corp</v>
      </c>
      <c r="C17" t="str">
        <f ca="1"/>
        <v>Toyota Motor Corp</v>
      </c>
      <c r="D17" t="str">
        <f ca="1"/>
        <v>TOYOTA</v>
      </c>
      <c r="E17" t="str">
        <f ca="1"/>
        <v>JP</v>
      </c>
      <c r="F17" t="str">
        <f ca="1"/>
        <v>JPY</v>
      </c>
      <c r="G17" t="str">
        <f ca="1"/>
        <v>04/09/2035</v>
      </c>
      <c r="H17" t="str">
        <f ca="1"/>
        <v>FIXED</v>
      </c>
      <c r="I17">
        <f ca="1"/>
        <v>2</v>
      </c>
      <c r="J17">
        <f ca="1"/>
        <v>1.7929999999999999</v>
      </c>
      <c r="K17">
        <f ca="1"/>
        <v>2.5070000000000001</v>
      </c>
      <c r="L17">
        <f ca="1"/>
        <v>2.5070000000000001</v>
      </c>
      <c r="M17">
        <f ca="1"/>
        <v>94.531000000000006</v>
      </c>
      <c r="N17">
        <f ca="1"/>
        <v>94.531000000000006</v>
      </c>
      <c r="O17" t="str">
        <f ca="1"/>
        <v>YL3962385</v>
      </c>
      <c r="P17" t="str">
        <f ca="1"/>
        <v>JP363340AR99</v>
      </c>
      <c r="Q17" t="str">
        <f ca="1"/>
        <v>A+</v>
      </c>
      <c r="R17" t="str">
        <f ca="1"/>
        <v>29/08/2025</v>
      </c>
      <c r="S17" t="str">
        <f ca="1"/>
        <v>04/09/2026</v>
      </c>
      <c r="T17" s="42">
        <f ca="1"/>
        <v>9.4318959616700884</v>
      </c>
      <c r="U17">
        <f ca="1"/>
        <v>94.531000000000006</v>
      </c>
      <c r="V17">
        <f ca="1"/>
        <v>1</v>
      </c>
      <c r="W17">
        <f ca="1"/>
        <v>9</v>
      </c>
      <c r="X17">
        <f ca="1"/>
        <v>1</v>
      </c>
      <c r="Y17">
        <f ca="1"/>
        <v>0.25614285714285712</v>
      </c>
      <c r="Z17">
        <f ca="1"/>
        <v>94.274857142857144</v>
      </c>
      <c r="AA17">
        <f ca="1"/>
        <v>2.5070000000000001</v>
      </c>
    </row>
    <row r="18" spans="1:27" x14ac:dyDescent="0.4">
      <c r="A18">
        <v>21</v>
      </c>
      <c r="B18" t="str" cm="1">
        <f t="array" aca="1" ref="B18:AA18" ca="1">_xlfn.XLOOKUP(A18,SORT!$U$2:$U$38,_xlfn.ANCHORARRAY(SORT!$A$2),,0)</f>
        <v>LW169503 Corp</v>
      </c>
      <c r="C18" t="str">
        <f ca="1"/>
        <v>Toyota Motor Corp</v>
      </c>
      <c r="D18" t="str">
        <f ca="1"/>
        <v>TOYOTA</v>
      </c>
      <c r="E18" t="str">
        <f ca="1"/>
        <v>JP</v>
      </c>
      <c r="F18" t="str">
        <f ca="1"/>
        <v>JPY</v>
      </c>
      <c r="G18" t="str">
        <f ca="1"/>
        <v>03/06/2036</v>
      </c>
      <c r="H18" t="str">
        <f ca="1"/>
        <v>FIXED</v>
      </c>
      <c r="I18">
        <f ca="1"/>
        <v>2</v>
      </c>
      <c r="J18">
        <f ca="1"/>
        <v>0.34300000000000003</v>
      </c>
      <c r="K18">
        <f ca="1"/>
        <v>2.839</v>
      </c>
      <c r="L18">
        <f ca="1"/>
        <v>2.839</v>
      </c>
      <c r="M18">
        <f ca="1"/>
        <v>80.22</v>
      </c>
      <c r="N18">
        <f ca="1"/>
        <v>80.22</v>
      </c>
      <c r="O18" t="str">
        <f ca="1"/>
        <v>LW1695037</v>
      </c>
      <c r="P18" t="str">
        <f ca="1"/>
        <v>JP363340BG67</v>
      </c>
      <c r="Q18" t="str">
        <f ca="1"/>
        <v>A+</v>
      </c>
      <c r="R18" t="str">
        <f ca="1"/>
        <v>27/05/2016</v>
      </c>
      <c r="S18" t="str">
        <f ca="1"/>
        <v>03/06/2026</v>
      </c>
      <c r="T18" s="42">
        <f ca="1"/>
        <v>10.179329226557153</v>
      </c>
      <c r="U18">
        <f ca="1"/>
        <v>80.22</v>
      </c>
      <c r="V18">
        <f ca="1"/>
        <v>21</v>
      </c>
      <c r="W18">
        <f ca="1"/>
        <v>10</v>
      </c>
      <c r="X18">
        <f ca="1"/>
        <v>10</v>
      </c>
      <c r="Y18">
        <f ca="1"/>
        <v>0.22050000000000003</v>
      </c>
      <c r="Z18">
        <f ca="1"/>
        <v>79.999499999999998</v>
      </c>
      <c r="AA18">
        <f ca="1"/>
        <v>2.839</v>
      </c>
    </row>
    <row r="19" spans="1:27" x14ac:dyDescent="0.4">
      <c r="A19" s="43">
        <v>4</v>
      </c>
      <c r="B19" t="str" cm="1">
        <f t="array" aca="1" ref="B19:AA19" ca="1">_xlfn.XLOOKUP(A19,SORT!$U$2:$U$38,_xlfn.ANCHORARRAY(SORT!$A$2),,0)</f>
        <v>AN666227 Corp</v>
      </c>
      <c r="C19" t="str">
        <f ca="1"/>
        <v>Toyota Motor Corp</v>
      </c>
      <c r="D19" t="str">
        <f ca="1"/>
        <v>TOYOTA</v>
      </c>
      <c r="E19" t="str">
        <f ca="1"/>
        <v>JP</v>
      </c>
      <c r="F19" t="str">
        <f ca="1"/>
        <v>JPY</v>
      </c>
      <c r="G19" t="str">
        <f ca="1"/>
        <v>02/06/2037</v>
      </c>
      <c r="H19" t="str">
        <f ca="1"/>
        <v>FIXED</v>
      </c>
      <c r="I19">
        <f ca="1"/>
        <v>2</v>
      </c>
      <c r="J19">
        <f ca="1"/>
        <v>0.65100000000000002</v>
      </c>
      <c r="K19">
        <f ca="1"/>
        <v>2.9619999999999997</v>
      </c>
      <c r="L19">
        <f ca="1"/>
        <v>2.9619999999999997</v>
      </c>
      <c r="M19">
        <f ca="1"/>
        <v>80.534999999999997</v>
      </c>
      <c r="N19">
        <f ca="1"/>
        <v>80.534999999999997</v>
      </c>
      <c r="O19" t="str">
        <f ca="1"/>
        <v>AN6662273</v>
      </c>
      <c r="P19" t="str">
        <f ca="1"/>
        <v>JP363340DH64</v>
      </c>
      <c r="Q19" t="str">
        <f ca="1"/>
        <v>A+</v>
      </c>
      <c r="R19" t="str">
        <f ca="1"/>
        <v>26/05/2017</v>
      </c>
      <c r="S19" t="str">
        <f ca="1"/>
        <v>02/06/2026</v>
      </c>
      <c r="T19" s="42">
        <f ca="1"/>
        <v>11.175906913073238</v>
      </c>
      <c r="U19">
        <f ca="1"/>
        <v>80.534999999999997</v>
      </c>
      <c r="V19">
        <f ca="1"/>
        <v>4</v>
      </c>
      <c r="W19">
        <f ca="1"/>
        <v>11</v>
      </c>
      <c r="X19">
        <f ca="1"/>
        <v>9</v>
      </c>
      <c r="Y19">
        <f ca="1"/>
        <v>0.42207692307692313</v>
      </c>
      <c r="Z19">
        <f ca="1"/>
        <v>80.112923076923067</v>
      </c>
      <c r="AA19">
        <f ca="1"/>
        <v>2.9619999999999997</v>
      </c>
    </row>
  </sheetData>
  <conditionalFormatting sqref="A2:A19">
    <cfRule type="duplicateValues" dxfId="8" priority="1"/>
  </conditionalFormatting>
  <conditionalFormatting sqref="J1:J10485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69">
    <cfRule type="cellIs" dxfId="7" priority="2" operator="greaterThan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CBD04-5F4E-4B17-89E9-396DD4EF1173}">
  <dimension ref="A1:BD75"/>
  <sheetViews>
    <sheetView zoomScale="56" zoomScaleNormal="100" workbookViewId="0">
      <selection activeCell="B3" sqref="B2:B14"/>
    </sheetView>
  </sheetViews>
  <sheetFormatPr defaultRowHeight="13.15" x14ac:dyDescent="0.4"/>
  <cols>
    <col min="18" max="18" width="9.86328125" style="3" bestFit="1" customWidth="1"/>
    <col min="20" max="20" width="9" style="42"/>
    <col min="21" max="21" width="9" style="4"/>
  </cols>
  <sheetData>
    <row r="1" spans="1:56" x14ac:dyDescent="0.4">
      <c r="A1" t="s">
        <v>57</v>
      </c>
      <c r="B1" t="str" cm="1">
        <f t="array" aca="1" ref="B1:AA1" ca="1">_xlfn.ANCHORARRAY(SORT!A1)</f>
        <v>Instrument</v>
      </c>
      <c r="C1" t="str">
        <f ca="1"/>
        <v>Name</v>
      </c>
      <c r="D1" t="str">
        <f ca="1"/>
        <v>Ticker</v>
      </c>
      <c r="E1" t="str">
        <f ca="1"/>
        <v>Country/Region</v>
      </c>
      <c r="F1" t="str">
        <f ca="1"/>
        <v>Currency</v>
      </c>
      <c r="G1" t="str">
        <f ca="1"/>
        <v>Maturity</v>
      </c>
      <c r="H1" t="str">
        <f ca="1"/>
        <v>Coupon Type</v>
      </c>
      <c r="I1" t="str">
        <f ca="1"/>
        <v>Coupon Frequency</v>
      </c>
      <c r="J1" t="str">
        <f ca="1"/>
        <v>Coupon</v>
      </c>
      <c r="K1" t="str">
        <f ca="1"/>
        <v>Ask Yield to Maturity</v>
      </c>
      <c r="L1" t="str">
        <f ca="1"/>
        <v>Bid Yield to Maturity</v>
      </c>
      <c r="M1" t="str">
        <f ca="1"/>
        <v>Ask Price</v>
      </c>
      <c r="N1" t="str">
        <f ca="1"/>
        <v>Bid Price</v>
      </c>
      <c r="O1" t="str">
        <f ca="1"/>
        <v>Identifier</v>
      </c>
      <c r="P1" t="str">
        <f ca="1"/>
        <v>ISIN</v>
      </c>
      <c r="Q1" t="str">
        <f ca="1"/>
        <v>Bloomberg Composite Rating</v>
      </c>
      <c r="R1" s="3" t="str">
        <f ca="1"/>
        <v>Announce</v>
      </c>
      <c r="S1" t="str">
        <f ca="1"/>
        <v>Next Coupon Settle Date</v>
      </c>
      <c r="T1" s="41" t="str">
        <f ca="1"/>
        <v>Time</v>
      </c>
      <c r="U1" s="4" t="str">
        <f ca="1"/>
        <v>AVG Price</v>
      </c>
      <c r="V1" t="str">
        <f ca="1"/>
        <v>ID</v>
      </c>
      <c r="W1" t="str">
        <f ca="1"/>
        <v>TIMEish</v>
      </c>
      <c r="X1" t="str">
        <f ca="1"/>
        <v>years ago</v>
      </c>
      <c r="Y1" t="str">
        <f ca="1"/>
        <v>Accrued Interest</v>
      </c>
      <c r="Z1" t="str">
        <f ca="1"/>
        <v>Clean price</v>
      </c>
      <c r="AA1" t="str">
        <f ca="1"/>
        <v>AVG yield</v>
      </c>
      <c r="AE1" t="str" cm="1">
        <f t="array" aca="1" ref="AE1:BD1" ca="1">_xlfn.ANCHORARRAY(B1)</f>
        <v>Instrument</v>
      </c>
      <c r="AF1" t="str">
        <f ca="1"/>
        <v>Name</v>
      </c>
      <c r="AG1" t="str">
        <f ca="1"/>
        <v>Ticker</v>
      </c>
      <c r="AH1" t="str">
        <f ca="1"/>
        <v>Country/Region</v>
      </c>
      <c r="AI1" t="str">
        <f ca="1"/>
        <v>Currency</v>
      </c>
      <c r="AJ1" t="str">
        <f ca="1"/>
        <v>Maturity</v>
      </c>
      <c r="AK1" t="str">
        <f ca="1"/>
        <v>Coupon Type</v>
      </c>
      <c r="AL1" t="str">
        <f ca="1"/>
        <v>Coupon Frequency</v>
      </c>
      <c r="AM1" t="str">
        <f ca="1"/>
        <v>Coupon</v>
      </c>
      <c r="AN1" t="str">
        <f ca="1"/>
        <v>Ask Yield to Maturity</v>
      </c>
      <c r="AO1" t="str">
        <f ca="1"/>
        <v>Bid Yield to Maturity</v>
      </c>
      <c r="AP1" t="str">
        <f ca="1"/>
        <v>Ask Price</v>
      </c>
      <c r="AQ1" t="str">
        <f ca="1"/>
        <v>Bid Price</v>
      </c>
      <c r="AR1" t="str">
        <f ca="1"/>
        <v>Identifier</v>
      </c>
      <c r="AS1" t="str">
        <f ca="1"/>
        <v>ISIN</v>
      </c>
      <c r="AT1" t="str">
        <f ca="1"/>
        <v>Bloomberg Composite Rating</v>
      </c>
      <c r="AU1" t="str">
        <f ca="1"/>
        <v>Announce</v>
      </c>
      <c r="AV1" t="str">
        <f ca="1"/>
        <v>Next Coupon Settle Date</v>
      </c>
      <c r="AW1" t="str">
        <f ca="1"/>
        <v>Time</v>
      </c>
      <c r="AX1" t="str">
        <f ca="1"/>
        <v>AVG Price</v>
      </c>
      <c r="AY1" t="str">
        <f ca="1"/>
        <v>ID</v>
      </c>
      <c r="AZ1" t="str">
        <f ca="1"/>
        <v>TIMEish</v>
      </c>
      <c r="BA1" t="str">
        <f ca="1"/>
        <v>years ago</v>
      </c>
      <c r="BB1" t="str">
        <f ca="1"/>
        <v>Accrued Interest</v>
      </c>
      <c r="BC1" t="str">
        <f ca="1"/>
        <v>Clean price</v>
      </c>
      <c r="BD1" t="str">
        <f ca="1"/>
        <v>AVG yield</v>
      </c>
    </row>
    <row r="2" spans="1:56" ht="12.75" x14ac:dyDescent="0.35">
      <c r="B2" t="str" cm="1">
        <f t="array" aca="1" ref="B2:AA14" ca="1">_xlfn._xlws.FILTER(_xlfn.ANCHORARRAY(AE2),OFFSET(AZ1,1,,COUNT(AZ:AZ))&gt;0)</f>
        <v>ZI885852 Corp</v>
      </c>
      <c r="C2" t="str">
        <f ca="1"/>
        <v>Toyota Finance Corp</v>
      </c>
      <c r="D2" t="str">
        <f ca="1"/>
        <v>TOYOTA</v>
      </c>
      <c r="E2" t="str">
        <f ca="1"/>
        <v>JP</v>
      </c>
      <c r="F2" t="str">
        <f ca="1"/>
        <v>JPY</v>
      </c>
      <c r="G2" t="str">
        <f ca="1"/>
        <v>13/10/2026</v>
      </c>
      <c r="H2" t="str">
        <f ca="1"/>
        <v>FIXED</v>
      </c>
      <c r="I2">
        <f ca="1"/>
        <v>2</v>
      </c>
      <c r="J2">
        <f ca="1"/>
        <v>0.37</v>
      </c>
      <c r="K2">
        <f ca="1"/>
        <v>1.163</v>
      </c>
      <c r="L2">
        <f ca="1"/>
        <v>1.163</v>
      </c>
      <c r="M2">
        <f ca="1"/>
        <v>99.537999999999997</v>
      </c>
      <c r="N2">
        <f ca="1"/>
        <v>99.537999999999997</v>
      </c>
      <c r="O2" t="str">
        <f ca="1"/>
        <v>ZI8858527</v>
      </c>
      <c r="P2" t="str">
        <f ca="1"/>
        <v>JP363360APA1</v>
      </c>
      <c r="Q2" t="str">
        <f ca="1"/>
        <v>A+</v>
      </c>
      <c r="R2" s="3" t="str">
        <f ca="1"/>
        <v>06/10/2023</v>
      </c>
      <c r="S2" t="str">
        <f ca="1"/>
        <v>13/04/2026</v>
      </c>
      <c r="T2">
        <f ca="1"/>
        <v>0.53935660506502392</v>
      </c>
      <c r="U2" s="4">
        <f ca="1"/>
        <v>99.537999999999997</v>
      </c>
      <c r="V2">
        <f ca="1"/>
        <v>2</v>
      </c>
      <c r="W2">
        <f ca="1"/>
        <v>0.5</v>
      </c>
      <c r="X2" s="4">
        <f ca="1"/>
        <v>3</v>
      </c>
      <c r="Y2" s="4">
        <f ca="1"/>
        <v>0.34153846153846157</v>
      </c>
      <c r="Z2" s="4">
        <f ca="1"/>
        <v>99.196461538461534</v>
      </c>
      <c r="AA2" s="4">
        <f ca="1"/>
        <v>1.163</v>
      </c>
      <c r="AE2" t="str" cm="1">
        <f t="array" aca="1" ref="AE2:BD18" ca="1">_xlfn._xlws.FILTER(_xlfn.ANCHORARRAY(SORT!A2),SORT!I2:I38&lt;0.5)</f>
        <v>BO356982 Corp</v>
      </c>
      <c r="AF2" t="str">
        <f ca="1"/>
        <v>Toyota Motor Corp</v>
      </c>
      <c r="AG2" t="str">
        <f ca="1"/>
        <v>TOYOTA</v>
      </c>
      <c r="AH2" t="str">
        <f ca="1"/>
        <v>JP</v>
      </c>
      <c r="AI2" t="str">
        <f ca="1"/>
        <v>JPY</v>
      </c>
      <c r="AJ2" t="str">
        <f ca="1"/>
        <v>18/03/2026</v>
      </c>
      <c r="AK2" t="str">
        <f ca="1"/>
        <v>FIXED</v>
      </c>
      <c r="AL2">
        <f ca="1"/>
        <v>2</v>
      </c>
      <c r="AM2">
        <f ca="1"/>
        <v>0.05</v>
      </c>
      <c r="AN2">
        <f ca="1"/>
        <v>1.4769999999999999</v>
      </c>
      <c r="AO2">
        <f ca="1"/>
        <v>1.4830000000000001</v>
      </c>
      <c r="AP2">
        <f ca="1"/>
        <v>99.98</v>
      </c>
      <c r="AQ2">
        <f ca="1"/>
        <v>99.98</v>
      </c>
      <c r="AR2" t="str">
        <f ca="1"/>
        <v>BO3569825</v>
      </c>
      <c r="AS2" t="str">
        <f ca="1"/>
        <v>JP363340BM36</v>
      </c>
      <c r="AT2" t="str">
        <f ca="1"/>
        <v>A+</v>
      </c>
      <c r="AU2" t="str">
        <f ca="1"/>
        <v>12/03/2021</v>
      </c>
      <c r="AV2" t="str">
        <f ca="1"/>
        <v>18/03/2026</v>
      </c>
      <c r="AW2">
        <f ca="1"/>
        <v>-3.2854209445585217E-2</v>
      </c>
      <c r="AX2">
        <f ca="1"/>
        <v>99.98</v>
      </c>
      <c r="AY2">
        <f ca="1"/>
        <v>7</v>
      </c>
      <c r="AZ2">
        <f ca="1"/>
        <v>0</v>
      </c>
      <c r="BA2">
        <f ca="1"/>
        <v>5</v>
      </c>
      <c r="BB2">
        <f ca="1"/>
        <v>5.3021978021978028E-2</v>
      </c>
      <c r="BC2">
        <f ca="1"/>
        <v>99.92697802197803</v>
      </c>
      <c r="BD2">
        <f ca="1"/>
        <v>1.48</v>
      </c>
    </row>
    <row r="3" spans="1:56" ht="12.75" x14ac:dyDescent="0.35">
      <c r="B3" t="str">
        <f ca="1"/>
        <v>ZD637368 Corp</v>
      </c>
      <c r="C3" t="str">
        <f ca="1"/>
        <v>Toyota Finance Corp</v>
      </c>
      <c r="D3" t="str">
        <f ca="1"/>
        <v>TOYOTA</v>
      </c>
      <c r="E3" t="str">
        <f ca="1"/>
        <v>JP</v>
      </c>
      <c r="F3" t="str">
        <f ca="1"/>
        <v>JPY</v>
      </c>
      <c r="G3" t="str">
        <f ca="1"/>
        <v>09/04/2027</v>
      </c>
      <c r="H3" t="str">
        <f ca="1"/>
        <v>FIXED</v>
      </c>
      <c r="I3">
        <f ca="1"/>
        <v>2</v>
      </c>
      <c r="J3">
        <f ca="1"/>
        <v>0.41399999999999998</v>
      </c>
      <c r="K3">
        <f ca="1"/>
        <v>1.2589999999999999</v>
      </c>
      <c r="L3">
        <f ca="1"/>
        <v>1.2809999999935633</v>
      </c>
      <c r="M3">
        <f ca="1"/>
        <v>99.103999999999999</v>
      </c>
      <c r="N3">
        <f ca="1"/>
        <v>99.081000000000003</v>
      </c>
      <c r="O3" t="str">
        <f ca="1"/>
        <v>ZD6373686</v>
      </c>
      <c r="P3" t="str">
        <f ca="1"/>
        <v>JP363360AQ46</v>
      </c>
      <c r="Q3" t="str">
        <f ca="1"/>
        <v>A+</v>
      </c>
      <c r="R3" s="3" t="str">
        <f ca="1"/>
        <v>05/04/2024</v>
      </c>
      <c r="S3" t="str">
        <f ca="1"/>
        <v>10/04/2026</v>
      </c>
      <c r="T3">
        <f ca="1"/>
        <v>1.0266940451745379</v>
      </c>
      <c r="U3" s="4">
        <f ca="1"/>
        <v>99.092500000000001</v>
      </c>
      <c r="V3">
        <f ca="1"/>
        <v>26</v>
      </c>
      <c r="W3">
        <f ca="1"/>
        <v>1</v>
      </c>
      <c r="X3" s="4">
        <f ca="1"/>
        <v>2</v>
      </c>
      <c r="Y3" s="4">
        <f ca="1"/>
        <v>0.38897802197802195</v>
      </c>
      <c r="Z3" s="4">
        <f ca="1"/>
        <v>98.703521978021982</v>
      </c>
      <c r="AA3" s="4">
        <f ca="1"/>
        <v>1.2699999999967817</v>
      </c>
      <c r="AE3" t="str">
        <f ca="1"/>
        <v>BO356985 Corp</v>
      </c>
      <c r="AF3" t="str">
        <f ca="1"/>
        <v>Toyota Motor Corp</v>
      </c>
      <c r="AG3" t="str">
        <f ca="1"/>
        <v>TOYOTA</v>
      </c>
      <c r="AH3" t="str">
        <f ca="1"/>
        <v>JP</v>
      </c>
      <c r="AI3" t="str">
        <f ca="1"/>
        <v>JPY</v>
      </c>
      <c r="AJ3" t="str">
        <f ca="1"/>
        <v>27/03/2026</v>
      </c>
      <c r="AK3" t="str">
        <f ca="1"/>
        <v>FIXED</v>
      </c>
      <c r="AL3">
        <f ca="1"/>
        <v>2</v>
      </c>
      <c r="AM3">
        <f ca="1"/>
        <v>0.1</v>
      </c>
      <c r="AN3">
        <f ca="1"/>
        <v>1.173</v>
      </c>
      <c r="AO3">
        <f ca="1"/>
        <v>1.1759999999999999</v>
      </c>
      <c r="AP3">
        <f ca="1"/>
        <v>99.957999999999998</v>
      </c>
      <c r="AQ3">
        <f ca="1"/>
        <v>99.957999999999998</v>
      </c>
      <c r="AR3" t="str">
        <f ca="1"/>
        <v>BO3569858</v>
      </c>
      <c r="AS3" t="str">
        <f ca="1"/>
        <v>JP363340AM37</v>
      </c>
      <c r="AT3" t="str">
        <f ca="1"/>
        <v>#N/A N/A</v>
      </c>
      <c r="AU3" t="str">
        <f ca="1"/>
        <v>12/03/2021</v>
      </c>
      <c r="AV3" t="str">
        <f ca="1"/>
        <v>27/03/2026</v>
      </c>
      <c r="AW3">
        <f ca="1"/>
        <v>-8.2135523613963042E-3</v>
      </c>
      <c r="AX3">
        <f ca="1"/>
        <v>99.957999999999998</v>
      </c>
      <c r="AY3">
        <f ca="1"/>
        <v>6</v>
      </c>
      <c r="AZ3">
        <f ca="1"/>
        <v>0</v>
      </c>
      <c r="BA3">
        <f ca="1"/>
        <v>5</v>
      </c>
      <c r="BB3">
        <f ca="1"/>
        <v>0.1010989010989011</v>
      </c>
      <c r="BC3">
        <f ca="1"/>
        <v>99.856901098901091</v>
      </c>
      <c r="BD3">
        <f ca="1"/>
        <v>1.1745000000000001</v>
      </c>
    </row>
    <row r="4" spans="1:56" ht="12.75" x14ac:dyDescent="0.35">
      <c r="B4" t="str">
        <f ca="1"/>
        <v>AN666209 Corp</v>
      </c>
      <c r="C4" t="str">
        <f ca="1"/>
        <v>Toyota Motor Corp</v>
      </c>
      <c r="D4" t="str">
        <f ca="1"/>
        <v>TOYOTA</v>
      </c>
      <c r="E4" t="str">
        <f ca="1"/>
        <v>JP</v>
      </c>
      <c r="F4" t="str">
        <f ca="1"/>
        <v>JPY</v>
      </c>
      <c r="G4" t="str">
        <f ca="1"/>
        <v>02/06/2027</v>
      </c>
      <c r="H4" t="str">
        <f ca="1"/>
        <v>FIXED</v>
      </c>
      <c r="I4">
        <f ca="1"/>
        <v>2</v>
      </c>
      <c r="J4">
        <f ca="1"/>
        <v>0.22</v>
      </c>
      <c r="K4">
        <f ca="1"/>
        <v>1.274</v>
      </c>
      <c r="L4">
        <f ca="1"/>
        <v>1.292</v>
      </c>
      <c r="M4">
        <f ca="1"/>
        <v>98.73</v>
      </c>
      <c r="N4">
        <f ca="1"/>
        <v>98.709000000000003</v>
      </c>
      <c r="O4" t="str">
        <f ca="1"/>
        <v>AN6662091</v>
      </c>
      <c r="P4" t="str">
        <f ca="1"/>
        <v>JP363340CH65</v>
      </c>
      <c r="Q4" t="str">
        <f ca="1"/>
        <v>A+</v>
      </c>
      <c r="R4" s="3" t="str">
        <f ca="1"/>
        <v>26/05/2017</v>
      </c>
      <c r="S4" t="str">
        <f ca="1"/>
        <v>02/06/2026</v>
      </c>
      <c r="T4">
        <f ca="1"/>
        <v>1.1745379876796715</v>
      </c>
      <c r="U4" s="4">
        <f ca="1"/>
        <v>98.719500000000011</v>
      </c>
      <c r="V4">
        <f ca="1"/>
        <v>15</v>
      </c>
      <c r="W4">
        <f ca="1"/>
        <v>1</v>
      </c>
      <c r="X4" s="4">
        <f ca="1"/>
        <v>9</v>
      </c>
      <c r="Y4" s="4">
        <f ca="1"/>
        <v>0.14263736263736265</v>
      </c>
      <c r="Z4" s="4">
        <f ca="1"/>
        <v>98.576862637362652</v>
      </c>
      <c r="AA4" s="4">
        <f ca="1"/>
        <v>1.2829999999999999</v>
      </c>
      <c r="AE4" t="str">
        <f ca="1"/>
        <v>BO579315 Corp</v>
      </c>
      <c r="AF4" t="str">
        <f ca="1"/>
        <v>Toyota Finance Corp</v>
      </c>
      <c r="AG4" t="str">
        <f ca="1"/>
        <v>TOYOTA</v>
      </c>
      <c r="AH4" t="str">
        <f ca="1"/>
        <v>JP</v>
      </c>
      <c r="AI4" t="str">
        <f ca="1"/>
        <v>JPY</v>
      </c>
      <c r="AJ4" t="str">
        <f ca="1"/>
        <v>15/04/2026</v>
      </c>
      <c r="AK4" t="str">
        <f ca="1"/>
        <v>FIXED</v>
      </c>
      <c r="AL4">
        <f ca="1"/>
        <v>2</v>
      </c>
      <c r="AM4">
        <f ca="1"/>
        <v>0.06</v>
      </c>
      <c r="AN4">
        <f ca="1"/>
        <v>1.099</v>
      </c>
      <c r="AO4">
        <f ca="1"/>
        <v>1.1000000000000001</v>
      </c>
      <c r="AP4">
        <f ca="1"/>
        <v>99.906000000000006</v>
      </c>
      <c r="AQ4">
        <f ca="1"/>
        <v>99.906000000000006</v>
      </c>
      <c r="AR4" t="str">
        <f ca="1"/>
        <v>BO5793159</v>
      </c>
      <c r="AS4" t="str">
        <f ca="1"/>
        <v>JP363360BM49</v>
      </c>
      <c r="AT4" t="str">
        <f ca="1"/>
        <v>A+</v>
      </c>
      <c r="AU4" t="str">
        <f ca="1"/>
        <v>09/04/2021</v>
      </c>
      <c r="AV4" t="str">
        <f ca="1"/>
        <v>15/04/2026</v>
      </c>
      <c r="AW4">
        <f ca="1"/>
        <v>4.380561259411362E-2</v>
      </c>
      <c r="AX4">
        <f ca="1"/>
        <v>99.906000000000006</v>
      </c>
      <c r="AY4">
        <f ca="1"/>
        <v>31</v>
      </c>
      <c r="AZ4">
        <f ca="1"/>
        <v>0</v>
      </c>
      <c r="BA4">
        <f ca="1"/>
        <v>5</v>
      </c>
      <c r="BB4">
        <f ca="1"/>
        <v>5.472527472527472E-2</v>
      </c>
      <c r="BC4">
        <f ca="1"/>
        <v>99.851274725274735</v>
      </c>
      <c r="BD4">
        <f ca="1"/>
        <v>1.0994999999999999</v>
      </c>
    </row>
    <row r="5" spans="1:56" ht="12.75" x14ac:dyDescent="0.35">
      <c r="B5" t="str">
        <f ca="1"/>
        <v>BW601098 Corp</v>
      </c>
      <c r="C5" t="str">
        <f ca="1"/>
        <v>Toyota Motor Corp</v>
      </c>
      <c r="D5" t="str">
        <f ca="1"/>
        <v>TOYOTA</v>
      </c>
      <c r="E5" t="str">
        <f ca="1"/>
        <v>JP</v>
      </c>
      <c r="F5" t="str">
        <f ca="1"/>
        <v>JPY</v>
      </c>
      <c r="G5" t="str">
        <f ca="1"/>
        <v>02/06/2027</v>
      </c>
      <c r="H5" t="str">
        <f ca="1"/>
        <v>FIXED</v>
      </c>
      <c r="I5">
        <f ca="1"/>
        <v>2</v>
      </c>
      <c r="J5">
        <f ca="1"/>
        <v>0.11</v>
      </c>
      <c r="K5">
        <f ca="1"/>
        <v>1.2730000000000001</v>
      </c>
      <c r="L5">
        <f ca="1"/>
        <v>1.2909999999999999</v>
      </c>
      <c r="M5">
        <f ca="1"/>
        <v>98.599000000000004</v>
      </c>
      <c r="N5">
        <f ca="1"/>
        <v>98.578000000000003</v>
      </c>
      <c r="O5" t="str">
        <f ca="1"/>
        <v>BW6010985</v>
      </c>
      <c r="P5" t="str">
        <f ca="1"/>
        <v>JP363340AN69</v>
      </c>
      <c r="Q5" t="str">
        <f ca="1"/>
        <v>A+</v>
      </c>
      <c r="R5" s="3" t="str">
        <f ca="1"/>
        <v>27/05/2022</v>
      </c>
      <c r="S5" t="str">
        <f ca="1"/>
        <v>02/06/2026</v>
      </c>
      <c r="T5">
        <f ca="1"/>
        <v>1.1745379876796715</v>
      </c>
      <c r="U5" s="4">
        <f ca="1"/>
        <v>98.58850000000001</v>
      </c>
      <c r="V5">
        <f ca="1"/>
        <v>32</v>
      </c>
      <c r="W5">
        <f ca="1"/>
        <v>1</v>
      </c>
      <c r="X5" s="4">
        <f ca="1"/>
        <v>4</v>
      </c>
      <c r="Y5" s="4">
        <f ca="1"/>
        <v>7.1318681318681326E-2</v>
      </c>
      <c r="Z5" s="4">
        <f ca="1"/>
        <v>98.517181318681324</v>
      </c>
      <c r="AA5" s="4">
        <f ca="1"/>
        <v>1.282</v>
      </c>
      <c r="AE5" t="str">
        <f ca="1"/>
        <v>LW169500 Corp</v>
      </c>
      <c r="AF5" t="str">
        <f ca="1"/>
        <v>Toyota Motor Corp</v>
      </c>
      <c r="AG5" t="str">
        <f ca="1"/>
        <v>TOYOTA</v>
      </c>
      <c r="AH5" t="str">
        <f ca="1"/>
        <v>JP</v>
      </c>
      <c r="AI5" t="str">
        <f ca="1"/>
        <v>JPY</v>
      </c>
      <c r="AJ5" t="str">
        <f ca="1"/>
        <v>03/06/2026</v>
      </c>
      <c r="AK5" t="str">
        <f ca="1"/>
        <v>FIXED</v>
      </c>
      <c r="AL5">
        <f ca="1"/>
        <v>2</v>
      </c>
      <c r="AM5">
        <f ca="1"/>
        <v>0.09</v>
      </c>
      <c r="AN5">
        <f ca="1"/>
        <v>0.86399999999999999</v>
      </c>
      <c r="AO5">
        <f ca="1"/>
        <v>1.1339999999999999</v>
      </c>
      <c r="AP5">
        <f ca="1"/>
        <v>99.825999999999993</v>
      </c>
      <c r="AQ5">
        <f ca="1"/>
        <v>99.766000000000005</v>
      </c>
      <c r="AR5" t="str">
        <f ca="1"/>
        <v>LW1695003</v>
      </c>
      <c r="AS5" t="str">
        <f ca="1"/>
        <v>JP363340AG68</v>
      </c>
      <c r="AT5" t="str">
        <f ca="1"/>
        <v>A+</v>
      </c>
      <c r="AU5" t="str">
        <f ca="1"/>
        <v>27/05/2016</v>
      </c>
      <c r="AV5" t="str">
        <f ca="1"/>
        <v>03/06/2026</v>
      </c>
      <c r="AW5">
        <f ca="1"/>
        <v>0.17796030116358658</v>
      </c>
      <c r="AX5">
        <f ca="1"/>
        <v>99.795999999999992</v>
      </c>
      <c r="AY5">
        <f ca="1"/>
        <v>3</v>
      </c>
      <c r="AZ5">
        <f ca="1"/>
        <v>0</v>
      </c>
      <c r="BA5">
        <f ca="1"/>
        <v>10</v>
      </c>
      <c r="BB5">
        <f ca="1"/>
        <v>5.7857142857142857E-2</v>
      </c>
      <c r="BC5">
        <f ca="1"/>
        <v>99.738142857142847</v>
      </c>
      <c r="BD5">
        <f ca="1"/>
        <v>0.99899999999999989</v>
      </c>
    </row>
    <row r="6" spans="1:56" ht="12.75" x14ac:dyDescent="0.35">
      <c r="B6" t="str">
        <f ca="1"/>
        <v>AO295977 Corp</v>
      </c>
      <c r="C6" t="str">
        <f ca="1"/>
        <v>Toyota Finance Corp</v>
      </c>
      <c r="D6" t="str">
        <f ca="1"/>
        <v>TOYOTA</v>
      </c>
      <c r="E6" t="str">
        <f ca="1"/>
        <v>JP</v>
      </c>
      <c r="F6" t="str">
        <f ca="1"/>
        <v>JPY</v>
      </c>
      <c r="G6" t="str">
        <f ca="1"/>
        <v>23/07/2027</v>
      </c>
      <c r="H6" t="str">
        <f ca="1"/>
        <v>FIXED</v>
      </c>
      <c r="I6">
        <f ca="1"/>
        <v>2</v>
      </c>
      <c r="J6">
        <f ca="1"/>
        <v>0.26500000000000001</v>
      </c>
      <c r="K6">
        <f ca="1"/>
        <v>1.3460000000000001</v>
      </c>
      <c r="L6">
        <f ca="1"/>
        <v>1.3599999999999999</v>
      </c>
      <c r="M6">
        <f ca="1"/>
        <v>98.552999999999997</v>
      </c>
      <c r="N6">
        <f ca="1"/>
        <v>98.534000000000006</v>
      </c>
      <c r="O6" t="str">
        <f ca="1"/>
        <v>AO2959770</v>
      </c>
      <c r="P6" t="str">
        <f ca="1"/>
        <v>JP363360CH78</v>
      </c>
      <c r="Q6" t="str">
        <f ca="1"/>
        <v>A+</v>
      </c>
      <c r="R6" s="3" t="str">
        <f ca="1"/>
        <v>14/07/2017</v>
      </c>
      <c r="S6" t="str">
        <f ca="1"/>
        <v>24/07/2026</v>
      </c>
      <c r="T6">
        <f ca="1"/>
        <v>1.3141683778234086</v>
      </c>
      <c r="U6" s="4">
        <f ca="1"/>
        <v>98.543499999999995</v>
      </c>
      <c r="V6">
        <f ca="1"/>
        <v>29</v>
      </c>
      <c r="W6">
        <f ca="1"/>
        <v>1</v>
      </c>
      <c r="X6" s="4">
        <f ca="1"/>
        <v>9</v>
      </c>
      <c r="Y6" s="4">
        <f ca="1"/>
        <v>9.4642857142857154E-2</v>
      </c>
      <c r="Z6" s="4">
        <f ca="1"/>
        <v>98.448857142857136</v>
      </c>
      <c r="AA6" s="4">
        <f ca="1"/>
        <v>1.353</v>
      </c>
      <c r="AE6" t="str">
        <f ca="1"/>
        <v>ZI885852 Corp</v>
      </c>
      <c r="AF6" t="str">
        <f ca="1"/>
        <v>Toyota Finance Corp</v>
      </c>
      <c r="AG6" t="str">
        <f ca="1"/>
        <v>TOYOTA</v>
      </c>
      <c r="AH6" t="str">
        <f ca="1"/>
        <v>JP</v>
      </c>
      <c r="AI6" t="str">
        <f ca="1"/>
        <v>JPY</v>
      </c>
      <c r="AJ6" t="str">
        <f ca="1"/>
        <v>13/10/2026</v>
      </c>
      <c r="AK6" t="str">
        <f ca="1"/>
        <v>FIXED</v>
      </c>
      <c r="AL6">
        <f ca="1"/>
        <v>2</v>
      </c>
      <c r="AM6">
        <f ca="1"/>
        <v>0.37</v>
      </c>
      <c r="AN6">
        <f ca="1"/>
        <v>1.163</v>
      </c>
      <c r="AO6">
        <f ca="1"/>
        <v>1.163</v>
      </c>
      <c r="AP6">
        <f ca="1"/>
        <v>99.537999999999997</v>
      </c>
      <c r="AQ6">
        <f ca="1"/>
        <v>99.537999999999997</v>
      </c>
      <c r="AR6" t="str">
        <f ca="1"/>
        <v>ZI8858527</v>
      </c>
      <c r="AS6" t="str">
        <f ca="1"/>
        <v>JP363360APA1</v>
      </c>
      <c r="AT6" t="str">
        <f ca="1"/>
        <v>A+</v>
      </c>
      <c r="AU6" t="str">
        <f ca="1"/>
        <v>06/10/2023</v>
      </c>
      <c r="AV6" t="str">
        <f ca="1"/>
        <v>13/04/2026</v>
      </c>
      <c r="AW6">
        <f ca="1"/>
        <v>0.53935660506502392</v>
      </c>
      <c r="AX6">
        <f ca="1"/>
        <v>99.537999999999997</v>
      </c>
      <c r="AY6">
        <f ca="1"/>
        <v>2</v>
      </c>
      <c r="AZ6">
        <f ca="1"/>
        <v>0.5</v>
      </c>
      <c r="BA6">
        <f ca="1"/>
        <v>3</v>
      </c>
      <c r="BB6">
        <f ca="1"/>
        <v>0.34153846153846157</v>
      </c>
      <c r="BC6">
        <f ca="1"/>
        <v>99.196461538461534</v>
      </c>
      <c r="BD6">
        <f ca="1"/>
        <v>1.163</v>
      </c>
    </row>
    <row r="7" spans="1:56" ht="12.75" x14ac:dyDescent="0.35">
      <c r="B7" t="str">
        <f ca="1"/>
        <v>BZ742454 Corp</v>
      </c>
      <c r="C7" t="str">
        <f ca="1"/>
        <v>Toyota Finance Corp</v>
      </c>
      <c r="D7" t="str">
        <f ca="1"/>
        <v>TOYOTA</v>
      </c>
      <c r="E7" t="str">
        <f ca="1"/>
        <v>JP</v>
      </c>
      <c r="F7" t="str">
        <f ca="1"/>
        <v>JPY</v>
      </c>
      <c r="G7" t="str">
        <f ca="1"/>
        <v>21/10/2027</v>
      </c>
      <c r="H7" t="str">
        <f ca="1"/>
        <v>FIXED</v>
      </c>
      <c r="I7">
        <f ca="1"/>
        <v>2</v>
      </c>
      <c r="J7">
        <f ca="1"/>
        <v>0.38500000000000001</v>
      </c>
      <c r="K7">
        <f ca="1"/>
        <v>1.419</v>
      </c>
      <c r="L7">
        <f ca="1"/>
        <v>1.4339999999999999</v>
      </c>
      <c r="M7">
        <f ca="1"/>
        <v>98.373999999999995</v>
      </c>
      <c r="N7">
        <f ca="1"/>
        <v>98.350999999999999</v>
      </c>
      <c r="O7" t="str">
        <f ca="1"/>
        <v>BZ7424543</v>
      </c>
      <c r="P7" t="str">
        <f ca="1"/>
        <v>JP363360BNA4</v>
      </c>
      <c r="Q7" t="str">
        <f ca="1"/>
        <v>A+</v>
      </c>
      <c r="R7" s="3" t="str">
        <f ca="1"/>
        <v>14/10/2022</v>
      </c>
      <c r="S7" t="str">
        <f ca="1"/>
        <v>21/04/2026</v>
      </c>
      <c r="T7">
        <f ca="1"/>
        <v>1.5605749486652978</v>
      </c>
      <c r="U7" s="4">
        <f ca="1"/>
        <v>98.362499999999997</v>
      </c>
      <c r="V7">
        <f ca="1"/>
        <v>36</v>
      </c>
      <c r="W7">
        <f ca="1"/>
        <v>1.5</v>
      </c>
      <c r="X7" s="4">
        <f ca="1"/>
        <v>4</v>
      </c>
      <c r="Y7" s="4">
        <f ca="1"/>
        <v>0.33846153846153848</v>
      </c>
      <c r="Z7" s="4">
        <f ca="1"/>
        <v>98.024038461538453</v>
      </c>
      <c r="AA7" s="4">
        <f ca="1"/>
        <v>1.4264999999999999</v>
      </c>
      <c r="AE7" t="str">
        <f ca="1"/>
        <v>ZD637368 Corp</v>
      </c>
      <c r="AF7" t="str">
        <f ca="1"/>
        <v>Toyota Finance Corp</v>
      </c>
      <c r="AG7" t="str">
        <f ca="1"/>
        <v>TOYOTA</v>
      </c>
      <c r="AH7" t="str">
        <f ca="1"/>
        <v>JP</v>
      </c>
      <c r="AI7" t="str">
        <f ca="1"/>
        <v>JPY</v>
      </c>
      <c r="AJ7" t="str">
        <f ca="1"/>
        <v>09/04/2027</v>
      </c>
      <c r="AK7" t="str">
        <f ca="1"/>
        <v>FIXED</v>
      </c>
      <c r="AL7">
        <f ca="1"/>
        <v>2</v>
      </c>
      <c r="AM7">
        <f ca="1"/>
        <v>0.41399999999999998</v>
      </c>
      <c r="AN7">
        <f ca="1"/>
        <v>1.2589999999999999</v>
      </c>
      <c r="AO7">
        <f ca="1"/>
        <v>1.2809999999935633</v>
      </c>
      <c r="AP7">
        <f ca="1"/>
        <v>99.103999999999999</v>
      </c>
      <c r="AQ7">
        <f ca="1"/>
        <v>99.081000000000003</v>
      </c>
      <c r="AR7" t="str">
        <f ca="1"/>
        <v>ZD6373686</v>
      </c>
      <c r="AS7" t="str">
        <f ca="1"/>
        <v>JP363360AQ46</v>
      </c>
      <c r="AT7" t="str">
        <f ca="1"/>
        <v>A+</v>
      </c>
      <c r="AU7" t="str">
        <f ca="1"/>
        <v>05/04/2024</v>
      </c>
      <c r="AV7" t="str">
        <f ca="1"/>
        <v>10/04/2026</v>
      </c>
      <c r="AW7">
        <f ca="1"/>
        <v>1.0266940451745379</v>
      </c>
      <c r="AX7">
        <f ca="1"/>
        <v>99.092500000000001</v>
      </c>
      <c r="AY7">
        <f ca="1"/>
        <v>26</v>
      </c>
      <c r="AZ7">
        <f ca="1"/>
        <v>1</v>
      </c>
      <c r="BA7">
        <f ca="1"/>
        <v>2</v>
      </c>
      <c r="BB7">
        <f ca="1"/>
        <v>0.38897802197802195</v>
      </c>
      <c r="BC7">
        <f ca="1"/>
        <v>98.703521978021982</v>
      </c>
      <c r="BD7">
        <f ca="1"/>
        <v>1.2699999999967817</v>
      </c>
    </row>
    <row r="8" spans="1:56" ht="12.75" x14ac:dyDescent="0.35">
      <c r="B8" t="str">
        <f ca="1"/>
        <v>AP577034 Corp</v>
      </c>
      <c r="C8" t="str">
        <f ca="1"/>
        <v>Toyota Finance Corp</v>
      </c>
      <c r="D8" t="str">
        <f ca="1"/>
        <v>TOYOTA</v>
      </c>
      <c r="E8" t="str">
        <f ca="1"/>
        <v>JP</v>
      </c>
      <c r="F8" t="str">
        <f ca="1"/>
        <v>JPY</v>
      </c>
      <c r="G8" t="str">
        <f ca="1"/>
        <v>22/10/2027</v>
      </c>
      <c r="H8" t="str">
        <f ca="1"/>
        <v>FIXED</v>
      </c>
      <c r="I8">
        <f ca="1"/>
        <v>2</v>
      </c>
      <c r="J8">
        <f ca="1"/>
        <v>0.26500000000000001</v>
      </c>
      <c r="K8">
        <f ca="1"/>
        <v>1.4179999999999999</v>
      </c>
      <c r="L8">
        <f ca="1"/>
        <v>1.4330000000000001</v>
      </c>
      <c r="M8">
        <f ca="1"/>
        <v>98.183999999999997</v>
      </c>
      <c r="N8">
        <f ca="1"/>
        <v>98.16</v>
      </c>
      <c r="O8" t="str">
        <f ca="1"/>
        <v>AP5770346</v>
      </c>
      <c r="P8" t="str">
        <f ca="1"/>
        <v>JP363360CHA4</v>
      </c>
      <c r="Q8" t="str">
        <f ca="1"/>
        <v>A+</v>
      </c>
      <c r="R8" s="3" t="str">
        <f ca="1"/>
        <v>13/10/2017</v>
      </c>
      <c r="S8" t="str">
        <f ca="1"/>
        <v>24/04/2026</v>
      </c>
      <c r="T8">
        <f ca="1"/>
        <v>1.5633127994524298</v>
      </c>
      <c r="U8" s="4">
        <f ca="1"/>
        <v>98.171999999999997</v>
      </c>
      <c r="V8">
        <f ca="1"/>
        <v>20</v>
      </c>
      <c r="W8">
        <f ca="1"/>
        <v>1.5</v>
      </c>
      <c r="X8" s="4">
        <f ca="1"/>
        <v>9</v>
      </c>
      <c r="Y8" s="4">
        <f ca="1"/>
        <v>0.22859890109890113</v>
      </c>
      <c r="Z8" s="4">
        <f ca="1"/>
        <v>97.943401098901091</v>
      </c>
      <c r="AA8" s="4">
        <f ca="1"/>
        <v>1.4255</v>
      </c>
      <c r="AE8" t="str">
        <f ca="1"/>
        <v>AN666209 Corp</v>
      </c>
      <c r="AF8" t="str">
        <f ca="1"/>
        <v>Toyota Motor Corp</v>
      </c>
      <c r="AG8" t="str">
        <f ca="1"/>
        <v>TOYOTA</v>
      </c>
      <c r="AH8" t="str">
        <f ca="1"/>
        <v>JP</v>
      </c>
      <c r="AI8" t="str">
        <f ca="1"/>
        <v>JPY</v>
      </c>
      <c r="AJ8" t="str">
        <f ca="1"/>
        <v>02/06/2027</v>
      </c>
      <c r="AK8" t="str">
        <f ca="1"/>
        <v>FIXED</v>
      </c>
      <c r="AL8">
        <f ca="1"/>
        <v>2</v>
      </c>
      <c r="AM8">
        <f ca="1"/>
        <v>0.22</v>
      </c>
      <c r="AN8">
        <f ca="1"/>
        <v>1.274</v>
      </c>
      <c r="AO8">
        <f ca="1"/>
        <v>1.292</v>
      </c>
      <c r="AP8">
        <f ca="1"/>
        <v>98.73</v>
      </c>
      <c r="AQ8">
        <f ca="1"/>
        <v>98.709000000000003</v>
      </c>
      <c r="AR8" t="str">
        <f ca="1"/>
        <v>AN6662091</v>
      </c>
      <c r="AS8" t="str">
        <f ca="1"/>
        <v>JP363340CH65</v>
      </c>
      <c r="AT8" t="str">
        <f ca="1"/>
        <v>A+</v>
      </c>
      <c r="AU8" t="str">
        <f ca="1"/>
        <v>26/05/2017</v>
      </c>
      <c r="AV8" t="str">
        <f ca="1"/>
        <v>02/06/2026</v>
      </c>
      <c r="AW8">
        <f ca="1"/>
        <v>1.1745379876796715</v>
      </c>
      <c r="AX8">
        <f ca="1"/>
        <v>98.719500000000011</v>
      </c>
      <c r="AY8">
        <f ca="1"/>
        <v>15</v>
      </c>
      <c r="AZ8">
        <f ca="1"/>
        <v>1</v>
      </c>
      <c r="BA8">
        <f ca="1"/>
        <v>9</v>
      </c>
      <c r="BB8">
        <f ca="1"/>
        <v>0.14263736263736265</v>
      </c>
      <c r="BC8">
        <f ca="1"/>
        <v>98.576862637362652</v>
      </c>
      <c r="BD8">
        <f ca="1"/>
        <v>1.2829999999999999</v>
      </c>
    </row>
    <row r="9" spans="1:56" ht="12.75" x14ac:dyDescent="0.35">
      <c r="B9" t="str">
        <f ca="1"/>
        <v>ZK701649 Corp</v>
      </c>
      <c r="C9" t="str">
        <f ca="1"/>
        <v>Toyota Motor Corp</v>
      </c>
      <c r="D9" t="str">
        <f ca="1"/>
        <v>TOYOTA</v>
      </c>
      <c r="E9" t="str">
        <f ca="1"/>
        <v>JP</v>
      </c>
      <c r="F9" t="str">
        <f ca="1"/>
        <v>JPY</v>
      </c>
      <c r="G9" t="str">
        <f ca="1"/>
        <v>01/06/2028</v>
      </c>
      <c r="H9" t="str">
        <f ca="1"/>
        <v>FIXED</v>
      </c>
      <c r="I9">
        <f ca="1"/>
        <v>2</v>
      </c>
      <c r="J9">
        <f ca="1"/>
        <v>0.33</v>
      </c>
      <c r="K9">
        <f ca="1"/>
        <v>1.4870000000000001</v>
      </c>
      <c r="L9">
        <f ca="1"/>
        <v>1.4870000000000001</v>
      </c>
      <c r="M9">
        <f ca="1"/>
        <v>97.513999999999996</v>
      </c>
      <c r="N9">
        <f ca="1"/>
        <v>97.513999999999996</v>
      </c>
      <c r="O9" t="str">
        <f ca="1"/>
        <v>ZK7016494</v>
      </c>
      <c r="P9" t="str">
        <f ca="1"/>
        <v>JP363340AP67</v>
      </c>
      <c r="Q9" t="str">
        <f ca="1"/>
        <v>A+</v>
      </c>
      <c r="R9" s="3" t="str">
        <f ca="1"/>
        <v>26/05/2023</v>
      </c>
      <c r="S9" t="str">
        <f ca="1"/>
        <v>01/06/2026</v>
      </c>
      <c r="T9">
        <f ca="1"/>
        <v>2.1738535249828885</v>
      </c>
      <c r="U9" s="4">
        <f ca="1"/>
        <v>97.513999999999996</v>
      </c>
      <c r="V9">
        <f ca="1"/>
        <v>28</v>
      </c>
      <c r="W9">
        <f ca="1"/>
        <v>2</v>
      </c>
      <c r="X9" s="4">
        <f ca="1"/>
        <v>3</v>
      </c>
      <c r="Y9" s="4">
        <f ca="1"/>
        <v>0.21576923076923077</v>
      </c>
      <c r="Z9" s="4">
        <f ca="1"/>
        <v>97.29823076923077</v>
      </c>
      <c r="AA9" s="4">
        <f ca="1"/>
        <v>1.4870000000000001</v>
      </c>
      <c r="AE9" t="str">
        <f ca="1"/>
        <v>BW601098 Corp</v>
      </c>
      <c r="AF9" t="str">
        <f ca="1"/>
        <v>Toyota Motor Corp</v>
      </c>
      <c r="AG9" t="str">
        <f ca="1"/>
        <v>TOYOTA</v>
      </c>
      <c r="AH9" t="str">
        <f ca="1"/>
        <v>JP</v>
      </c>
      <c r="AI9" t="str">
        <f ca="1"/>
        <v>JPY</v>
      </c>
      <c r="AJ9" t="str">
        <f ca="1"/>
        <v>02/06/2027</v>
      </c>
      <c r="AK9" t="str">
        <f ca="1"/>
        <v>FIXED</v>
      </c>
      <c r="AL9">
        <f ca="1"/>
        <v>2</v>
      </c>
      <c r="AM9">
        <f ca="1"/>
        <v>0.11</v>
      </c>
      <c r="AN9">
        <f ca="1"/>
        <v>1.2730000000000001</v>
      </c>
      <c r="AO9">
        <f ca="1"/>
        <v>1.2909999999999999</v>
      </c>
      <c r="AP9">
        <f ca="1"/>
        <v>98.599000000000004</v>
      </c>
      <c r="AQ9">
        <f ca="1"/>
        <v>98.578000000000003</v>
      </c>
      <c r="AR9" t="str">
        <f ca="1"/>
        <v>BW6010985</v>
      </c>
      <c r="AS9" t="str">
        <f ca="1"/>
        <v>JP363340AN69</v>
      </c>
      <c r="AT9" t="str">
        <f ca="1"/>
        <v>A+</v>
      </c>
      <c r="AU9" t="str">
        <f ca="1"/>
        <v>27/05/2022</v>
      </c>
      <c r="AV9" t="str">
        <f ca="1"/>
        <v>02/06/2026</v>
      </c>
      <c r="AW9">
        <f ca="1"/>
        <v>1.1745379876796715</v>
      </c>
      <c r="AX9">
        <f ca="1"/>
        <v>98.58850000000001</v>
      </c>
      <c r="AY9">
        <f ca="1"/>
        <v>32</v>
      </c>
      <c r="AZ9">
        <f ca="1"/>
        <v>1</v>
      </c>
      <c r="BA9">
        <f ca="1"/>
        <v>4</v>
      </c>
      <c r="BB9">
        <f ca="1"/>
        <v>7.1318681318681326E-2</v>
      </c>
      <c r="BC9">
        <f ca="1"/>
        <v>98.517181318681324</v>
      </c>
      <c r="BD9">
        <f ca="1"/>
        <v>1.282</v>
      </c>
    </row>
    <row r="10" spans="1:56" ht="12.75" x14ac:dyDescent="0.35">
      <c r="B10" t="str">
        <f ca="1"/>
        <v>AU925890 Corp</v>
      </c>
      <c r="C10" t="str">
        <f ca="1"/>
        <v>Toyota Finance Corp</v>
      </c>
      <c r="D10" t="str">
        <f ca="1"/>
        <v>TOYOTA</v>
      </c>
      <c r="E10" t="str">
        <f ca="1"/>
        <v>JP</v>
      </c>
      <c r="F10" t="str">
        <f ca="1"/>
        <v>JPY</v>
      </c>
      <c r="G10" t="str">
        <f ca="1"/>
        <v>23/10/2028</v>
      </c>
      <c r="H10" t="str">
        <f ca="1"/>
        <v>FIXED</v>
      </c>
      <c r="I10">
        <f ca="1"/>
        <v>2</v>
      </c>
      <c r="J10">
        <f ca="1"/>
        <v>0.31900000000000001</v>
      </c>
      <c r="K10">
        <f ca="1"/>
        <v>1.5649999999999999</v>
      </c>
      <c r="L10">
        <f ca="1"/>
        <v>1.579</v>
      </c>
      <c r="M10">
        <f ca="1"/>
        <v>96.870999999999995</v>
      </c>
      <c r="N10">
        <f ca="1"/>
        <v>96.837000000000003</v>
      </c>
      <c r="O10" t="str">
        <f ca="1"/>
        <v>AU9258909</v>
      </c>
      <c r="P10" t="str">
        <f ca="1"/>
        <v>JP363360CJA0</v>
      </c>
      <c r="Q10" t="str">
        <f ca="1"/>
        <v>A+</v>
      </c>
      <c r="R10" s="3" t="str">
        <f ca="1"/>
        <v>10/10/2018</v>
      </c>
      <c r="S10" t="str">
        <f ca="1"/>
        <v>23/04/2026</v>
      </c>
      <c r="T10">
        <f ca="1"/>
        <v>2.5681040383299112</v>
      </c>
      <c r="U10" s="4">
        <f ca="1"/>
        <v>96.853999999999999</v>
      </c>
      <c r="V10">
        <f ca="1"/>
        <v>30</v>
      </c>
      <c r="W10">
        <f ca="1"/>
        <v>2.5</v>
      </c>
      <c r="X10" s="4">
        <f ca="1"/>
        <v>8</v>
      </c>
      <c r="Y10" s="4">
        <f ca="1"/>
        <v>0.27693406593406594</v>
      </c>
      <c r="Z10" s="4">
        <f ca="1"/>
        <v>96.577065934065928</v>
      </c>
      <c r="AA10" s="4">
        <f ca="1"/>
        <v>1.5720000000000001</v>
      </c>
      <c r="AE10" t="str">
        <f ca="1"/>
        <v>AO295977 Corp</v>
      </c>
      <c r="AF10" t="str">
        <f ca="1"/>
        <v>Toyota Finance Corp</v>
      </c>
      <c r="AG10" t="str">
        <f ca="1"/>
        <v>TOYOTA</v>
      </c>
      <c r="AH10" t="str">
        <f ca="1"/>
        <v>JP</v>
      </c>
      <c r="AI10" t="str">
        <f ca="1"/>
        <v>JPY</v>
      </c>
      <c r="AJ10" t="str">
        <f ca="1"/>
        <v>23/07/2027</v>
      </c>
      <c r="AK10" t="str">
        <f ca="1"/>
        <v>FIXED</v>
      </c>
      <c r="AL10">
        <f ca="1"/>
        <v>2</v>
      </c>
      <c r="AM10">
        <f ca="1"/>
        <v>0.26500000000000001</v>
      </c>
      <c r="AN10">
        <f ca="1"/>
        <v>1.3460000000000001</v>
      </c>
      <c r="AO10">
        <f ca="1"/>
        <v>1.3599999999999999</v>
      </c>
      <c r="AP10">
        <f ca="1"/>
        <v>98.552999999999997</v>
      </c>
      <c r="AQ10">
        <f ca="1"/>
        <v>98.534000000000006</v>
      </c>
      <c r="AR10" t="str">
        <f ca="1"/>
        <v>AO2959770</v>
      </c>
      <c r="AS10" t="str">
        <f ca="1"/>
        <v>JP363360CH78</v>
      </c>
      <c r="AT10" t="str">
        <f ca="1"/>
        <v>A+</v>
      </c>
      <c r="AU10" t="str">
        <f ca="1"/>
        <v>14/07/2017</v>
      </c>
      <c r="AV10" t="str">
        <f ca="1"/>
        <v>24/07/2026</v>
      </c>
      <c r="AW10">
        <f ca="1"/>
        <v>1.3141683778234086</v>
      </c>
      <c r="AX10">
        <f ca="1"/>
        <v>98.543499999999995</v>
      </c>
      <c r="AY10">
        <f ca="1"/>
        <v>29</v>
      </c>
      <c r="AZ10">
        <f ca="1"/>
        <v>1</v>
      </c>
      <c r="BA10">
        <f ca="1"/>
        <v>9</v>
      </c>
      <c r="BB10">
        <f ca="1"/>
        <v>9.4642857142857154E-2</v>
      </c>
      <c r="BC10">
        <f ca="1"/>
        <v>98.448857142857136</v>
      </c>
      <c r="BD10">
        <f ca="1"/>
        <v>1.353</v>
      </c>
    </row>
    <row r="11" spans="1:56" ht="12.75" x14ac:dyDescent="0.35">
      <c r="B11" t="str">
        <f ca="1"/>
        <v>ZS613802 Corp</v>
      </c>
      <c r="C11" t="str">
        <f ca="1"/>
        <v>Toyota Motor Corp</v>
      </c>
      <c r="D11" t="str">
        <f ca="1"/>
        <v>TOYOTA</v>
      </c>
      <c r="E11" t="str">
        <f ca="1"/>
        <v>JP</v>
      </c>
      <c r="F11" t="str">
        <f ca="1"/>
        <v>JPY</v>
      </c>
      <c r="G11" t="str">
        <f ca="1"/>
        <v>24/05/2029</v>
      </c>
      <c r="H11" t="str">
        <f ca="1"/>
        <v>FIXED</v>
      </c>
      <c r="I11">
        <f ca="1"/>
        <v>2</v>
      </c>
      <c r="J11">
        <f ca="1"/>
        <v>0.15</v>
      </c>
      <c r="K11">
        <f ca="1"/>
        <v>1.653</v>
      </c>
      <c r="L11">
        <f ca="1"/>
        <v>1.665</v>
      </c>
      <c r="M11">
        <f ca="1"/>
        <v>95.435000000000002</v>
      </c>
      <c r="N11">
        <f ca="1"/>
        <v>95.4</v>
      </c>
      <c r="O11" t="str">
        <f ca="1"/>
        <v>ZS6138029</v>
      </c>
      <c r="P11" t="str">
        <f ca="1"/>
        <v>JP363340BK53</v>
      </c>
      <c r="Q11" t="str">
        <f ca="1"/>
        <v>A+</v>
      </c>
      <c r="R11" s="3" t="str">
        <f ca="1"/>
        <v>17/05/2019</v>
      </c>
      <c r="S11" t="str">
        <f ca="1"/>
        <v>22/05/2026</v>
      </c>
      <c r="T11">
        <f ca="1"/>
        <v>3.1512662559890487</v>
      </c>
      <c r="U11" s="4">
        <f ca="1"/>
        <v>95.417500000000004</v>
      </c>
      <c r="V11">
        <f ca="1"/>
        <v>35</v>
      </c>
      <c r="W11">
        <f ca="1"/>
        <v>3</v>
      </c>
      <c r="X11" s="4">
        <f ca="1"/>
        <v>7</v>
      </c>
      <c r="Y11" s="4">
        <f ca="1"/>
        <v>0.10549450549450549</v>
      </c>
      <c r="Z11" s="4">
        <f ca="1"/>
        <v>95.312005494505499</v>
      </c>
      <c r="AA11" s="4">
        <f ca="1"/>
        <v>1.659</v>
      </c>
      <c r="AE11" t="str">
        <f ca="1"/>
        <v>BZ742454 Corp</v>
      </c>
      <c r="AF11" t="str">
        <f ca="1"/>
        <v>Toyota Finance Corp</v>
      </c>
      <c r="AG11" t="str">
        <f ca="1"/>
        <v>TOYOTA</v>
      </c>
      <c r="AH11" t="str">
        <f ca="1"/>
        <v>JP</v>
      </c>
      <c r="AI11" t="str">
        <f ca="1"/>
        <v>JPY</v>
      </c>
      <c r="AJ11" t="str">
        <f ca="1"/>
        <v>21/10/2027</v>
      </c>
      <c r="AK11" t="str">
        <f ca="1"/>
        <v>FIXED</v>
      </c>
      <c r="AL11">
        <f ca="1"/>
        <v>2</v>
      </c>
      <c r="AM11">
        <f ca="1"/>
        <v>0.38500000000000001</v>
      </c>
      <c r="AN11">
        <f ca="1"/>
        <v>1.419</v>
      </c>
      <c r="AO11">
        <f ca="1"/>
        <v>1.4339999999999999</v>
      </c>
      <c r="AP11">
        <f ca="1"/>
        <v>98.373999999999995</v>
      </c>
      <c r="AQ11">
        <f ca="1"/>
        <v>98.350999999999999</v>
      </c>
      <c r="AR11" t="str">
        <f ca="1"/>
        <v>BZ7424543</v>
      </c>
      <c r="AS11" t="str">
        <f ca="1"/>
        <v>JP363360BNA4</v>
      </c>
      <c r="AT11" t="str">
        <f ca="1"/>
        <v>A+</v>
      </c>
      <c r="AU11" t="str">
        <f ca="1"/>
        <v>14/10/2022</v>
      </c>
      <c r="AV11" t="str">
        <f ca="1"/>
        <v>21/04/2026</v>
      </c>
      <c r="AW11">
        <f ca="1"/>
        <v>1.5605749486652978</v>
      </c>
      <c r="AX11">
        <f ca="1"/>
        <v>98.362499999999997</v>
      </c>
      <c r="AY11">
        <f ca="1"/>
        <v>36</v>
      </c>
      <c r="AZ11">
        <f ca="1"/>
        <v>1.5</v>
      </c>
      <c r="BA11">
        <f ca="1"/>
        <v>4</v>
      </c>
      <c r="BB11">
        <f ca="1"/>
        <v>0.33846153846153848</v>
      </c>
      <c r="BC11">
        <f ca="1"/>
        <v>98.024038461538453</v>
      </c>
      <c r="BD11">
        <f ca="1"/>
        <v>1.4264999999999999</v>
      </c>
    </row>
    <row r="12" spans="1:56" ht="12.75" x14ac:dyDescent="0.35">
      <c r="B12" t="str">
        <f ca="1"/>
        <v>BO356983 Corp</v>
      </c>
      <c r="C12" t="str">
        <f ca="1"/>
        <v>Toyota Motor Corp</v>
      </c>
      <c r="D12" t="str">
        <f ca="1"/>
        <v>TOYOTA</v>
      </c>
      <c r="E12" t="str">
        <f ca="1"/>
        <v>JP</v>
      </c>
      <c r="F12" t="str">
        <f ca="1"/>
        <v>JPY</v>
      </c>
      <c r="G12" t="str">
        <f ca="1"/>
        <v>18/03/2031</v>
      </c>
      <c r="H12" t="str">
        <f ca="1"/>
        <v>FIXED</v>
      </c>
      <c r="I12">
        <f ca="1"/>
        <v>2</v>
      </c>
      <c r="J12">
        <f ca="1"/>
        <v>0.219</v>
      </c>
      <c r="K12">
        <f ca="1"/>
        <v>1.982</v>
      </c>
      <c r="L12">
        <f ca="1"/>
        <v>1.982</v>
      </c>
      <c r="M12">
        <f ca="1"/>
        <v>91.959000000000003</v>
      </c>
      <c r="N12">
        <f ca="1"/>
        <v>91.959000000000003</v>
      </c>
      <c r="O12" t="str">
        <f ca="1"/>
        <v>BO3569833</v>
      </c>
      <c r="P12" t="str">
        <f ca="1"/>
        <v>JP363340CM35</v>
      </c>
      <c r="Q12" t="str">
        <f ca="1"/>
        <v>A+</v>
      </c>
      <c r="R12" s="3" t="str">
        <f ca="1"/>
        <v>12/03/2021</v>
      </c>
      <c r="S12" t="str">
        <f ca="1"/>
        <v>18/03/2026</v>
      </c>
      <c r="T12">
        <f ca="1"/>
        <v>4.9664613278576315</v>
      </c>
      <c r="U12" s="4">
        <f ca="1"/>
        <v>91.959000000000003</v>
      </c>
      <c r="V12">
        <f ca="1"/>
        <v>5</v>
      </c>
      <c r="W12">
        <f ca="1"/>
        <v>4.5</v>
      </c>
      <c r="X12" s="4">
        <f ca="1"/>
        <v>5</v>
      </c>
      <c r="Y12" s="4">
        <f ca="1"/>
        <v>0.23223626373626374</v>
      </c>
      <c r="Z12" s="4">
        <f ca="1"/>
        <v>91.726763736263734</v>
      </c>
      <c r="AA12" s="4">
        <f ca="1"/>
        <v>1.982</v>
      </c>
      <c r="AE12" t="str">
        <f ca="1"/>
        <v>AP577034 Corp</v>
      </c>
      <c r="AF12" t="str">
        <f ca="1"/>
        <v>Toyota Finance Corp</v>
      </c>
      <c r="AG12" t="str">
        <f ca="1"/>
        <v>TOYOTA</v>
      </c>
      <c r="AH12" t="str">
        <f ca="1"/>
        <v>JP</v>
      </c>
      <c r="AI12" t="str">
        <f ca="1"/>
        <v>JPY</v>
      </c>
      <c r="AJ12" t="str">
        <f ca="1"/>
        <v>22/10/2027</v>
      </c>
      <c r="AK12" t="str">
        <f ca="1"/>
        <v>FIXED</v>
      </c>
      <c r="AL12">
        <f ca="1"/>
        <v>2</v>
      </c>
      <c r="AM12">
        <f ca="1"/>
        <v>0.26500000000000001</v>
      </c>
      <c r="AN12">
        <f ca="1"/>
        <v>1.4179999999999999</v>
      </c>
      <c r="AO12">
        <f ca="1"/>
        <v>1.4330000000000001</v>
      </c>
      <c r="AP12">
        <f ca="1"/>
        <v>98.183999999999997</v>
      </c>
      <c r="AQ12">
        <f ca="1"/>
        <v>98.16</v>
      </c>
      <c r="AR12" t="str">
        <f ca="1"/>
        <v>AP5770346</v>
      </c>
      <c r="AS12" t="str">
        <f ca="1"/>
        <v>JP363360CHA4</v>
      </c>
      <c r="AT12" t="str">
        <f ca="1"/>
        <v>A+</v>
      </c>
      <c r="AU12" t="str">
        <f ca="1"/>
        <v>13/10/2017</v>
      </c>
      <c r="AV12" t="str">
        <f ca="1"/>
        <v>24/04/2026</v>
      </c>
      <c r="AW12">
        <f ca="1"/>
        <v>1.5633127994524298</v>
      </c>
      <c r="AX12">
        <f ca="1"/>
        <v>98.171999999999997</v>
      </c>
      <c r="AY12">
        <f ca="1"/>
        <v>20</v>
      </c>
      <c r="AZ12">
        <f ca="1"/>
        <v>1.5</v>
      </c>
      <c r="BA12">
        <f ca="1"/>
        <v>9</v>
      </c>
      <c r="BB12">
        <f ca="1"/>
        <v>0.22859890109890113</v>
      </c>
      <c r="BC12">
        <f ca="1"/>
        <v>97.943401098901091</v>
      </c>
      <c r="BD12">
        <f ca="1"/>
        <v>1.4255</v>
      </c>
    </row>
    <row r="13" spans="1:56" ht="12.75" x14ac:dyDescent="0.35">
      <c r="B13" t="str">
        <f ca="1"/>
        <v>BW601183 Corp</v>
      </c>
      <c r="C13" t="str">
        <f ca="1"/>
        <v>Toyota Motor Corp</v>
      </c>
      <c r="D13" t="str">
        <f ca="1"/>
        <v>TOYOTA</v>
      </c>
      <c r="E13" t="str">
        <f ca="1"/>
        <v>JP</v>
      </c>
      <c r="F13" t="str">
        <f ca="1"/>
        <v>JPY</v>
      </c>
      <c r="G13" t="str">
        <f ca="1"/>
        <v>02/06/2032</v>
      </c>
      <c r="H13" t="str">
        <f ca="1"/>
        <v>FIXED</v>
      </c>
      <c r="I13">
        <f ca="1"/>
        <v>2</v>
      </c>
      <c r="J13">
        <f ca="1"/>
        <v>0.32400000000000001</v>
      </c>
      <c r="K13">
        <f ca="1"/>
        <v>2.1549999999999998</v>
      </c>
      <c r="L13">
        <f ca="1"/>
        <v>2.1549999999999998</v>
      </c>
      <c r="M13">
        <f ca="1"/>
        <v>89.953999999999994</v>
      </c>
      <c r="N13">
        <f ca="1"/>
        <v>89.953999999999994</v>
      </c>
      <c r="O13" t="str">
        <f ca="1"/>
        <v>BW6011835</v>
      </c>
      <c r="P13" t="str">
        <f ca="1"/>
        <v>JP363340BN68</v>
      </c>
      <c r="Q13" t="str">
        <f ca="1"/>
        <v>A+</v>
      </c>
      <c r="R13" s="3" t="str">
        <f ca="1"/>
        <v>27/05/2022</v>
      </c>
      <c r="S13" t="str">
        <f ca="1"/>
        <v>02/06/2026</v>
      </c>
      <c r="T13">
        <f ca="1"/>
        <v>6.1765913757700206</v>
      </c>
      <c r="U13" s="4">
        <f ca="1"/>
        <v>89.953999999999994</v>
      </c>
      <c r="V13">
        <f ca="1"/>
        <v>17</v>
      </c>
      <c r="W13">
        <f ca="1"/>
        <v>6</v>
      </c>
      <c r="X13" s="4">
        <f ca="1"/>
        <v>4</v>
      </c>
      <c r="Y13" s="4">
        <f ca="1"/>
        <v>0.21006593406593407</v>
      </c>
      <c r="Z13" s="4">
        <f ca="1"/>
        <v>89.743934065934056</v>
      </c>
      <c r="AA13" s="4">
        <f ca="1"/>
        <v>2.1549999999999998</v>
      </c>
      <c r="AE13" t="str">
        <f ca="1"/>
        <v>ZK701649 Corp</v>
      </c>
      <c r="AF13" t="str">
        <f ca="1"/>
        <v>Toyota Motor Corp</v>
      </c>
      <c r="AG13" t="str">
        <f ca="1"/>
        <v>TOYOTA</v>
      </c>
      <c r="AH13" t="str">
        <f ca="1"/>
        <v>JP</v>
      </c>
      <c r="AI13" t="str">
        <f ca="1"/>
        <v>JPY</v>
      </c>
      <c r="AJ13" t="str">
        <f ca="1"/>
        <v>01/06/2028</v>
      </c>
      <c r="AK13" t="str">
        <f ca="1"/>
        <v>FIXED</v>
      </c>
      <c r="AL13">
        <f ca="1"/>
        <v>2</v>
      </c>
      <c r="AM13">
        <f ca="1"/>
        <v>0.33</v>
      </c>
      <c r="AN13">
        <f ca="1"/>
        <v>1.4870000000000001</v>
      </c>
      <c r="AO13">
        <f ca="1"/>
        <v>1.4870000000000001</v>
      </c>
      <c r="AP13">
        <f ca="1"/>
        <v>97.513999999999996</v>
      </c>
      <c r="AQ13">
        <f ca="1"/>
        <v>97.513999999999996</v>
      </c>
      <c r="AR13" t="str">
        <f ca="1"/>
        <v>ZK7016494</v>
      </c>
      <c r="AS13" t="str">
        <f ca="1"/>
        <v>JP363340AP67</v>
      </c>
      <c r="AT13" t="str">
        <f ca="1"/>
        <v>A+</v>
      </c>
      <c r="AU13" t="str">
        <f ca="1"/>
        <v>26/05/2023</v>
      </c>
      <c r="AV13" t="str">
        <f ca="1"/>
        <v>01/06/2026</v>
      </c>
      <c r="AW13">
        <f ca="1"/>
        <v>2.1738535249828885</v>
      </c>
      <c r="AX13">
        <f ca="1"/>
        <v>97.513999999999996</v>
      </c>
      <c r="AY13">
        <f ca="1"/>
        <v>28</v>
      </c>
      <c r="AZ13">
        <f ca="1"/>
        <v>2</v>
      </c>
      <c r="BA13">
        <f ca="1"/>
        <v>3</v>
      </c>
      <c r="BB13">
        <f ca="1"/>
        <v>0.21576923076923077</v>
      </c>
      <c r="BC13">
        <f ca="1"/>
        <v>97.29823076923077</v>
      </c>
      <c r="BD13">
        <f ca="1"/>
        <v>1.4870000000000001</v>
      </c>
    </row>
    <row r="14" spans="1:56" ht="12.75" x14ac:dyDescent="0.35">
      <c r="B14" t="str">
        <f ca="1"/>
        <v>LW169503 Corp</v>
      </c>
      <c r="C14" t="str">
        <f ca="1"/>
        <v>Toyota Motor Corp</v>
      </c>
      <c r="D14" t="str">
        <f ca="1"/>
        <v>TOYOTA</v>
      </c>
      <c r="E14" t="str">
        <f ca="1"/>
        <v>JP</v>
      </c>
      <c r="F14" t="str">
        <f ca="1"/>
        <v>JPY</v>
      </c>
      <c r="G14" t="str">
        <f ca="1"/>
        <v>03/06/2036</v>
      </c>
      <c r="H14" t="str">
        <f ca="1"/>
        <v>FIXED</v>
      </c>
      <c r="I14">
        <f ca="1"/>
        <v>2</v>
      </c>
      <c r="J14">
        <f ca="1"/>
        <v>0.34300000000000003</v>
      </c>
      <c r="K14">
        <f ca="1"/>
        <v>2.839</v>
      </c>
      <c r="L14">
        <f ca="1"/>
        <v>2.839</v>
      </c>
      <c r="M14">
        <f ca="1"/>
        <v>80.22</v>
      </c>
      <c r="N14">
        <f ca="1"/>
        <v>80.22</v>
      </c>
      <c r="O14" t="str">
        <f ca="1"/>
        <v>LW1695037</v>
      </c>
      <c r="P14" t="str">
        <f ca="1"/>
        <v>JP363340BG67</v>
      </c>
      <c r="Q14" t="str">
        <f ca="1"/>
        <v>A+</v>
      </c>
      <c r="R14" s="3" t="str">
        <f ca="1"/>
        <v>27/05/2016</v>
      </c>
      <c r="S14" t="str">
        <f ca="1"/>
        <v>03/06/2026</v>
      </c>
      <c r="T14">
        <f ca="1"/>
        <v>10.179329226557153</v>
      </c>
      <c r="U14" s="4">
        <f ca="1"/>
        <v>80.22</v>
      </c>
      <c r="V14">
        <f ca="1"/>
        <v>21</v>
      </c>
      <c r="W14">
        <f ca="1"/>
        <v>10</v>
      </c>
      <c r="X14" s="4">
        <f ca="1"/>
        <v>10</v>
      </c>
      <c r="Y14" s="4">
        <f ca="1"/>
        <v>0.22050000000000003</v>
      </c>
      <c r="Z14" s="4">
        <f ca="1"/>
        <v>79.999499999999998</v>
      </c>
      <c r="AA14" s="4">
        <f ca="1"/>
        <v>2.839</v>
      </c>
      <c r="AE14" t="str">
        <f ca="1"/>
        <v>AU925890 Corp</v>
      </c>
      <c r="AF14" t="str">
        <f ca="1"/>
        <v>Toyota Finance Corp</v>
      </c>
      <c r="AG14" t="str">
        <f ca="1"/>
        <v>TOYOTA</v>
      </c>
      <c r="AH14" t="str">
        <f ca="1"/>
        <v>JP</v>
      </c>
      <c r="AI14" t="str">
        <f ca="1"/>
        <v>JPY</v>
      </c>
      <c r="AJ14" t="str">
        <f ca="1"/>
        <v>23/10/2028</v>
      </c>
      <c r="AK14" t="str">
        <f ca="1"/>
        <v>FIXED</v>
      </c>
      <c r="AL14">
        <f ca="1"/>
        <v>2</v>
      </c>
      <c r="AM14">
        <f ca="1"/>
        <v>0.31900000000000001</v>
      </c>
      <c r="AN14">
        <f ca="1"/>
        <v>1.5649999999999999</v>
      </c>
      <c r="AO14">
        <f ca="1"/>
        <v>1.579</v>
      </c>
      <c r="AP14">
        <f ca="1"/>
        <v>96.870999999999995</v>
      </c>
      <c r="AQ14">
        <f ca="1"/>
        <v>96.837000000000003</v>
      </c>
      <c r="AR14" t="str">
        <f ca="1"/>
        <v>AU9258909</v>
      </c>
      <c r="AS14" t="str">
        <f ca="1"/>
        <v>JP363360CJA0</v>
      </c>
      <c r="AT14" t="str">
        <f ca="1"/>
        <v>A+</v>
      </c>
      <c r="AU14" t="str">
        <f ca="1"/>
        <v>10/10/2018</v>
      </c>
      <c r="AV14" t="str">
        <f ca="1"/>
        <v>23/04/2026</v>
      </c>
      <c r="AW14">
        <f ca="1"/>
        <v>2.5681040383299112</v>
      </c>
      <c r="AX14">
        <f ca="1"/>
        <v>96.853999999999999</v>
      </c>
      <c r="AY14">
        <f ca="1"/>
        <v>30</v>
      </c>
      <c r="AZ14">
        <f ca="1"/>
        <v>2.5</v>
      </c>
      <c r="BA14">
        <f ca="1"/>
        <v>8</v>
      </c>
      <c r="BB14">
        <f ca="1"/>
        <v>0.27693406593406594</v>
      </c>
      <c r="BC14">
        <f ca="1"/>
        <v>96.577065934065928</v>
      </c>
      <c r="BD14">
        <f ca="1"/>
        <v>1.5720000000000001</v>
      </c>
    </row>
    <row r="15" spans="1:56" ht="12.75" x14ac:dyDescent="0.35">
      <c r="T15"/>
      <c r="X15" s="4"/>
      <c r="Y15" s="4"/>
      <c r="Z15" s="4"/>
      <c r="AA15" s="4"/>
      <c r="AE15" t="str">
        <f ca="1"/>
        <v>ZS613802 Corp</v>
      </c>
      <c r="AF15" t="str">
        <f ca="1"/>
        <v>Toyota Motor Corp</v>
      </c>
      <c r="AG15" t="str">
        <f ca="1"/>
        <v>TOYOTA</v>
      </c>
      <c r="AH15" t="str">
        <f ca="1"/>
        <v>JP</v>
      </c>
      <c r="AI15" t="str">
        <f ca="1"/>
        <v>JPY</v>
      </c>
      <c r="AJ15" t="str">
        <f ca="1"/>
        <v>24/05/2029</v>
      </c>
      <c r="AK15" t="str">
        <f ca="1"/>
        <v>FIXED</v>
      </c>
      <c r="AL15">
        <f ca="1"/>
        <v>2</v>
      </c>
      <c r="AM15">
        <f ca="1"/>
        <v>0.15</v>
      </c>
      <c r="AN15">
        <f ca="1"/>
        <v>1.653</v>
      </c>
      <c r="AO15">
        <f ca="1"/>
        <v>1.665</v>
      </c>
      <c r="AP15">
        <f ca="1"/>
        <v>95.435000000000002</v>
      </c>
      <c r="AQ15">
        <f ca="1"/>
        <v>95.4</v>
      </c>
      <c r="AR15" t="str">
        <f ca="1"/>
        <v>ZS6138029</v>
      </c>
      <c r="AS15" t="str">
        <f ca="1"/>
        <v>JP363340BK53</v>
      </c>
      <c r="AT15" t="str">
        <f ca="1"/>
        <v>A+</v>
      </c>
      <c r="AU15" t="str">
        <f ca="1"/>
        <v>17/05/2019</v>
      </c>
      <c r="AV15" t="str">
        <f ca="1"/>
        <v>22/05/2026</v>
      </c>
      <c r="AW15">
        <f ca="1"/>
        <v>3.1512662559890487</v>
      </c>
      <c r="AX15">
        <f ca="1"/>
        <v>95.417500000000004</v>
      </c>
      <c r="AY15">
        <f ca="1"/>
        <v>35</v>
      </c>
      <c r="AZ15">
        <f ca="1"/>
        <v>3</v>
      </c>
      <c r="BA15">
        <f ca="1"/>
        <v>7</v>
      </c>
      <c r="BB15">
        <f ca="1"/>
        <v>0.10549450549450549</v>
      </c>
      <c r="BC15">
        <f ca="1"/>
        <v>95.312005494505499</v>
      </c>
      <c r="BD15">
        <f ca="1"/>
        <v>1.659</v>
      </c>
    </row>
    <row r="16" spans="1:56" ht="12.75" x14ac:dyDescent="0.35">
      <c r="T16"/>
      <c r="X16" s="4"/>
      <c r="Y16" s="4"/>
      <c r="Z16" s="4"/>
      <c r="AA16" s="4"/>
      <c r="AE16" t="str">
        <f ca="1"/>
        <v>BO356983 Corp</v>
      </c>
      <c r="AF16" t="str">
        <f ca="1"/>
        <v>Toyota Motor Corp</v>
      </c>
      <c r="AG16" t="str">
        <f ca="1"/>
        <v>TOYOTA</v>
      </c>
      <c r="AH16" t="str">
        <f ca="1"/>
        <v>JP</v>
      </c>
      <c r="AI16" t="str">
        <f ca="1"/>
        <v>JPY</v>
      </c>
      <c r="AJ16" t="str">
        <f ca="1"/>
        <v>18/03/2031</v>
      </c>
      <c r="AK16" t="str">
        <f ca="1"/>
        <v>FIXED</v>
      </c>
      <c r="AL16">
        <f ca="1"/>
        <v>2</v>
      </c>
      <c r="AM16">
        <f ca="1"/>
        <v>0.219</v>
      </c>
      <c r="AN16">
        <f ca="1"/>
        <v>1.982</v>
      </c>
      <c r="AO16">
        <f ca="1"/>
        <v>1.982</v>
      </c>
      <c r="AP16">
        <f ca="1"/>
        <v>91.959000000000003</v>
      </c>
      <c r="AQ16">
        <f ca="1"/>
        <v>91.959000000000003</v>
      </c>
      <c r="AR16" t="str">
        <f ca="1"/>
        <v>BO3569833</v>
      </c>
      <c r="AS16" t="str">
        <f ca="1"/>
        <v>JP363340CM35</v>
      </c>
      <c r="AT16" t="str">
        <f ca="1"/>
        <v>A+</v>
      </c>
      <c r="AU16" t="str">
        <f ca="1"/>
        <v>12/03/2021</v>
      </c>
      <c r="AV16" t="str">
        <f ca="1"/>
        <v>18/03/2026</v>
      </c>
      <c r="AW16">
        <f ca="1"/>
        <v>4.9664613278576315</v>
      </c>
      <c r="AX16">
        <f ca="1"/>
        <v>91.959000000000003</v>
      </c>
      <c r="AY16">
        <f ca="1"/>
        <v>5</v>
      </c>
      <c r="AZ16">
        <f ca="1"/>
        <v>4.5</v>
      </c>
      <c r="BA16">
        <f ca="1"/>
        <v>5</v>
      </c>
      <c r="BB16">
        <f ca="1"/>
        <v>0.23223626373626374</v>
      </c>
      <c r="BC16">
        <f ca="1"/>
        <v>91.726763736263734</v>
      </c>
      <c r="BD16">
        <f ca="1"/>
        <v>1.982</v>
      </c>
    </row>
    <row r="17" spans="20:56" ht="12.75" x14ac:dyDescent="0.35">
      <c r="T17"/>
      <c r="X17" s="4"/>
      <c r="Y17" s="4"/>
      <c r="Z17" s="4"/>
      <c r="AA17" s="4"/>
      <c r="AE17" t="str">
        <f ca="1"/>
        <v>BW601183 Corp</v>
      </c>
      <c r="AF17" t="str">
        <f ca="1"/>
        <v>Toyota Motor Corp</v>
      </c>
      <c r="AG17" t="str">
        <f ca="1"/>
        <v>TOYOTA</v>
      </c>
      <c r="AH17" t="str">
        <f ca="1"/>
        <v>JP</v>
      </c>
      <c r="AI17" t="str">
        <f ca="1"/>
        <v>JPY</v>
      </c>
      <c r="AJ17" t="str">
        <f ca="1"/>
        <v>02/06/2032</v>
      </c>
      <c r="AK17" t="str">
        <f ca="1"/>
        <v>FIXED</v>
      </c>
      <c r="AL17">
        <f ca="1"/>
        <v>2</v>
      </c>
      <c r="AM17">
        <f ca="1"/>
        <v>0.32400000000000001</v>
      </c>
      <c r="AN17">
        <f ca="1"/>
        <v>2.1549999999999998</v>
      </c>
      <c r="AO17">
        <f ca="1"/>
        <v>2.1549999999999998</v>
      </c>
      <c r="AP17">
        <f ca="1"/>
        <v>89.953999999999994</v>
      </c>
      <c r="AQ17">
        <f ca="1"/>
        <v>89.953999999999994</v>
      </c>
      <c r="AR17" t="str">
        <f ca="1"/>
        <v>BW6011835</v>
      </c>
      <c r="AS17" t="str">
        <f ca="1"/>
        <v>JP363340BN68</v>
      </c>
      <c r="AT17" t="str">
        <f ca="1"/>
        <v>A+</v>
      </c>
      <c r="AU17" t="str">
        <f ca="1"/>
        <v>27/05/2022</v>
      </c>
      <c r="AV17" t="str">
        <f ca="1"/>
        <v>02/06/2026</v>
      </c>
      <c r="AW17">
        <f ca="1"/>
        <v>6.1765913757700206</v>
      </c>
      <c r="AX17">
        <f ca="1"/>
        <v>89.953999999999994</v>
      </c>
      <c r="AY17">
        <f ca="1"/>
        <v>17</v>
      </c>
      <c r="AZ17">
        <f ca="1"/>
        <v>6</v>
      </c>
      <c r="BA17">
        <f ca="1"/>
        <v>4</v>
      </c>
      <c r="BB17">
        <f ca="1"/>
        <v>0.21006593406593407</v>
      </c>
      <c r="BC17">
        <f ca="1"/>
        <v>89.743934065934056</v>
      </c>
      <c r="BD17">
        <f ca="1"/>
        <v>2.1549999999999998</v>
      </c>
    </row>
    <row r="18" spans="20:56" ht="12.75" x14ac:dyDescent="0.35">
      <c r="T18"/>
      <c r="X18" s="4"/>
      <c r="Y18" s="4"/>
      <c r="Z18" s="4"/>
      <c r="AA18" s="4"/>
      <c r="AE18" t="str">
        <f ca="1"/>
        <v>LW169503 Corp</v>
      </c>
      <c r="AF18" t="str">
        <f ca="1"/>
        <v>Toyota Motor Corp</v>
      </c>
      <c r="AG18" t="str">
        <f ca="1"/>
        <v>TOYOTA</v>
      </c>
      <c r="AH18" t="str">
        <f ca="1"/>
        <v>JP</v>
      </c>
      <c r="AI18" t="str">
        <f ca="1"/>
        <v>JPY</v>
      </c>
      <c r="AJ18" t="str">
        <f ca="1"/>
        <v>03/06/2036</v>
      </c>
      <c r="AK18" t="str">
        <f ca="1"/>
        <v>FIXED</v>
      </c>
      <c r="AL18">
        <f ca="1"/>
        <v>2</v>
      </c>
      <c r="AM18">
        <f ca="1"/>
        <v>0.34300000000000003</v>
      </c>
      <c r="AN18">
        <f ca="1"/>
        <v>2.839</v>
      </c>
      <c r="AO18">
        <f ca="1"/>
        <v>2.839</v>
      </c>
      <c r="AP18">
        <f ca="1"/>
        <v>80.22</v>
      </c>
      <c r="AQ18">
        <f ca="1"/>
        <v>80.22</v>
      </c>
      <c r="AR18" t="str">
        <f ca="1"/>
        <v>LW1695037</v>
      </c>
      <c r="AS18" t="str">
        <f ca="1"/>
        <v>JP363340BG67</v>
      </c>
      <c r="AT18" t="str">
        <f ca="1"/>
        <v>A+</v>
      </c>
      <c r="AU18" t="str">
        <f ca="1"/>
        <v>27/05/2016</v>
      </c>
      <c r="AV18" t="str">
        <f ca="1"/>
        <v>03/06/2026</v>
      </c>
      <c r="AW18">
        <f ca="1"/>
        <v>10.179329226557153</v>
      </c>
      <c r="AX18">
        <f ca="1"/>
        <v>80.22</v>
      </c>
      <c r="AY18">
        <f ca="1"/>
        <v>21</v>
      </c>
      <c r="AZ18">
        <f ca="1"/>
        <v>10</v>
      </c>
      <c r="BA18">
        <f ca="1"/>
        <v>10</v>
      </c>
      <c r="BB18">
        <f ca="1"/>
        <v>0.22050000000000003</v>
      </c>
      <c r="BC18">
        <f ca="1"/>
        <v>79.999499999999998</v>
      </c>
      <c r="BD18">
        <f ca="1"/>
        <v>2.839</v>
      </c>
    </row>
    <row r="19" spans="20:56" ht="12.75" x14ac:dyDescent="0.35">
      <c r="T19"/>
      <c r="X19" s="4"/>
      <c r="Y19" s="4"/>
      <c r="Z19" s="4"/>
      <c r="AA19" s="4"/>
    </row>
    <row r="20" spans="20:56" ht="12.75" x14ac:dyDescent="0.35">
      <c r="T20"/>
      <c r="X20" s="4"/>
      <c r="Y20" s="4"/>
      <c r="Z20" s="4"/>
      <c r="AA20" s="4"/>
    </row>
    <row r="21" spans="20:56" ht="12.75" x14ac:dyDescent="0.35">
      <c r="T21"/>
      <c r="X21" s="4"/>
      <c r="Y21" s="4"/>
      <c r="Z21" s="4"/>
      <c r="AA21" s="4"/>
    </row>
    <row r="22" spans="20:56" ht="12.75" x14ac:dyDescent="0.35">
      <c r="T22"/>
      <c r="X22" s="4"/>
      <c r="Y22" s="4"/>
      <c r="Z22" s="4"/>
      <c r="AA22" s="4"/>
    </row>
    <row r="23" spans="20:56" ht="12.75" x14ac:dyDescent="0.35">
      <c r="T23"/>
      <c r="X23" s="4"/>
      <c r="Y23" s="4"/>
      <c r="Z23" s="4"/>
      <c r="AA23" s="4"/>
    </row>
    <row r="24" spans="20:56" ht="12.75" x14ac:dyDescent="0.35">
      <c r="T24"/>
      <c r="X24" s="4"/>
      <c r="Y24" s="4"/>
      <c r="Z24" s="4"/>
      <c r="AA24" s="4"/>
    </row>
    <row r="25" spans="20:56" ht="12.75" x14ac:dyDescent="0.35">
      <c r="T25"/>
      <c r="X25" s="4"/>
      <c r="Y25" s="4"/>
      <c r="Z25" s="4"/>
      <c r="AA25" s="4"/>
    </row>
    <row r="26" spans="20:56" ht="12.75" x14ac:dyDescent="0.35">
      <c r="T26"/>
      <c r="X26" s="4"/>
      <c r="Y26" s="4"/>
      <c r="Z26" s="4"/>
      <c r="AA26" s="4"/>
    </row>
    <row r="27" spans="20:56" ht="12.75" x14ac:dyDescent="0.35">
      <c r="T27"/>
      <c r="X27" s="4"/>
      <c r="Y27" s="4"/>
      <c r="Z27" s="4"/>
      <c r="AA27" s="4"/>
    </row>
    <row r="28" spans="20:56" ht="12.75" x14ac:dyDescent="0.35">
      <c r="T28"/>
      <c r="X28" s="4"/>
      <c r="Y28" s="4"/>
      <c r="Z28" s="4"/>
      <c r="AA28" s="4"/>
    </row>
    <row r="29" spans="20:56" ht="12.75" x14ac:dyDescent="0.35">
      <c r="T29"/>
      <c r="X29" s="4"/>
      <c r="Y29" s="4"/>
      <c r="Z29" s="4"/>
      <c r="AA29" s="4"/>
    </row>
    <row r="30" spans="20:56" ht="12.75" x14ac:dyDescent="0.35">
      <c r="T30"/>
      <c r="X30" s="4"/>
      <c r="Y30" s="4"/>
      <c r="Z30" s="4"/>
      <c r="AA30" s="4"/>
    </row>
    <row r="31" spans="20:56" ht="12.75" x14ac:dyDescent="0.35">
      <c r="T31"/>
      <c r="X31" s="4"/>
      <c r="Y31" s="4"/>
      <c r="Z31" s="4"/>
      <c r="AA31" s="4"/>
    </row>
    <row r="32" spans="20:56" ht="12.75" x14ac:dyDescent="0.35">
      <c r="T32"/>
      <c r="X32" s="4"/>
      <c r="Y32" s="4"/>
      <c r="Z32" s="4"/>
      <c r="AA32" s="4"/>
    </row>
    <row r="33" spans="20:27" ht="12.75" x14ac:dyDescent="0.35">
      <c r="T33"/>
      <c r="X33" s="4"/>
      <c r="Y33" s="4"/>
      <c r="Z33" s="4"/>
      <c r="AA33" s="4"/>
    </row>
    <row r="34" spans="20:27" ht="12.75" x14ac:dyDescent="0.35">
      <c r="T34"/>
      <c r="X34" s="4"/>
      <c r="Y34" s="4"/>
      <c r="Z34" s="4"/>
      <c r="AA34" s="4"/>
    </row>
    <row r="35" spans="20:27" ht="12.75" x14ac:dyDescent="0.35">
      <c r="T35"/>
      <c r="X35" s="4"/>
      <c r="Y35" s="4"/>
      <c r="Z35" s="4"/>
      <c r="AA35" s="4"/>
    </row>
    <row r="36" spans="20:27" ht="12.75" x14ac:dyDescent="0.35">
      <c r="T36"/>
      <c r="X36" s="4"/>
      <c r="Y36" s="4"/>
      <c r="Z36" s="4"/>
      <c r="AA36" s="4"/>
    </row>
    <row r="37" spans="20:27" ht="12.75" x14ac:dyDescent="0.35">
      <c r="T37"/>
      <c r="X37" s="4"/>
      <c r="Y37" s="4"/>
      <c r="Z37" s="4"/>
      <c r="AA37" s="4"/>
    </row>
    <row r="38" spans="20:27" ht="12.75" x14ac:dyDescent="0.35">
      <c r="T38"/>
      <c r="X38" s="4"/>
      <c r="Y38" s="4"/>
      <c r="Z38" s="4"/>
      <c r="AA38" s="4"/>
    </row>
    <row r="39" spans="20:27" ht="12.75" x14ac:dyDescent="0.35">
      <c r="T39"/>
      <c r="X39" s="4"/>
      <c r="Y39" s="4"/>
      <c r="Z39" s="4"/>
      <c r="AA39" s="4"/>
    </row>
    <row r="40" spans="20:27" ht="12.75" x14ac:dyDescent="0.35">
      <c r="T40"/>
      <c r="X40" s="4"/>
      <c r="Y40" s="4"/>
      <c r="Z40" s="4"/>
      <c r="AA40" s="4"/>
    </row>
    <row r="41" spans="20:27" ht="12.75" x14ac:dyDescent="0.35">
      <c r="T41"/>
      <c r="X41" s="4"/>
      <c r="Y41" s="4"/>
      <c r="Z41" s="4"/>
      <c r="AA41" s="4"/>
    </row>
    <row r="42" spans="20:27" ht="12.75" x14ac:dyDescent="0.35">
      <c r="T42"/>
      <c r="X42" s="4"/>
      <c r="Y42" s="4"/>
      <c r="Z42" s="4"/>
      <c r="AA42" s="4"/>
    </row>
    <row r="43" spans="20:27" ht="12.75" x14ac:dyDescent="0.35">
      <c r="T43"/>
      <c r="X43" s="4"/>
      <c r="Y43" s="4"/>
      <c r="Z43" s="4"/>
      <c r="AA43" s="4"/>
    </row>
    <row r="44" spans="20:27" ht="12.75" x14ac:dyDescent="0.35">
      <c r="T44"/>
      <c r="X44" s="4"/>
      <c r="Y44" s="4"/>
      <c r="Z44" s="4"/>
      <c r="AA44" s="4"/>
    </row>
    <row r="45" spans="20:27" ht="12.75" x14ac:dyDescent="0.35">
      <c r="T45"/>
      <c r="X45" s="4"/>
      <c r="Y45" s="4"/>
      <c r="Z45" s="4"/>
      <c r="AA45" s="4"/>
    </row>
    <row r="46" spans="20:27" ht="12.75" x14ac:dyDescent="0.35">
      <c r="T46"/>
      <c r="X46" s="4"/>
      <c r="Y46" s="4"/>
      <c r="Z46" s="4"/>
      <c r="AA46" s="4"/>
    </row>
    <row r="47" spans="20:27" ht="12.75" x14ac:dyDescent="0.35">
      <c r="T47"/>
      <c r="X47" s="4"/>
      <c r="Y47" s="4"/>
      <c r="Z47" s="4"/>
      <c r="AA47" s="4"/>
    </row>
    <row r="48" spans="20:27" ht="12.75" x14ac:dyDescent="0.35">
      <c r="T48"/>
      <c r="X48" s="4"/>
      <c r="Y48" s="4"/>
      <c r="Z48" s="4"/>
      <c r="AA48" s="4"/>
    </row>
    <row r="49" spans="20:27" ht="12.75" x14ac:dyDescent="0.35">
      <c r="T49"/>
      <c r="X49" s="4"/>
      <c r="Y49" s="4"/>
      <c r="Z49" s="4"/>
      <c r="AA49" s="4"/>
    </row>
    <row r="50" spans="20:27" ht="12.75" x14ac:dyDescent="0.35">
      <c r="T50"/>
      <c r="X50" s="4"/>
      <c r="Y50" s="4"/>
      <c r="Z50" s="4"/>
      <c r="AA50" s="4"/>
    </row>
    <row r="51" spans="20:27" ht="12.75" x14ac:dyDescent="0.35">
      <c r="T51"/>
      <c r="X51" s="4"/>
      <c r="Y51" s="4"/>
      <c r="Z51" s="4"/>
      <c r="AA51" s="4"/>
    </row>
    <row r="52" spans="20:27" ht="12.75" x14ac:dyDescent="0.35">
      <c r="T52"/>
      <c r="X52" s="4"/>
      <c r="Y52" s="4"/>
      <c r="Z52" s="4"/>
      <c r="AA52" s="4"/>
    </row>
    <row r="53" spans="20:27" ht="12.75" x14ac:dyDescent="0.35">
      <c r="T53"/>
      <c r="X53" s="4"/>
      <c r="Y53" s="4"/>
      <c r="Z53" s="4"/>
      <c r="AA53" s="4"/>
    </row>
    <row r="54" spans="20:27" ht="12.75" x14ac:dyDescent="0.35">
      <c r="T54"/>
      <c r="X54" s="4"/>
      <c r="Y54" s="4"/>
      <c r="Z54" s="4"/>
      <c r="AA54" s="4"/>
    </row>
    <row r="55" spans="20:27" ht="12.75" x14ac:dyDescent="0.35">
      <c r="T55"/>
      <c r="X55" s="4"/>
      <c r="Y55" s="4"/>
      <c r="Z55" s="4"/>
      <c r="AA55" s="4"/>
    </row>
    <row r="56" spans="20:27" ht="12.75" x14ac:dyDescent="0.35">
      <c r="T56"/>
      <c r="X56" s="4"/>
      <c r="Y56" s="4"/>
      <c r="Z56" s="4"/>
      <c r="AA56" s="4"/>
    </row>
    <row r="57" spans="20:27" ht="12.75" x14ac:dyDescent="0.35">
      <c r="T57"/>
      <c r="X57" s="4"/>
      <c r="Y57" s="4"/>
      <c r="Z57" s="4"/>
      <c r="AA57" s="4"/>
    </row>
    <row r="58" spans="20:27" ht="12.75" x14ac:dyDescent="0.35">
      <c r="T58"/>
      <c r="X58" s="4"/>
      <c r="Y58" s="4"/>
      <c r="Z58" s="4"/>
      <c r="AA58" s="4"/>
    </row>
    <row r="59" spans="20:27" ht="12.75" x14ac:dyDescent="0.35">
      <c r="T59"/>
      <c r="X59" s="4"/>
      <c r="Y59" s="4"/>
      <c r="Z59" s="4"/>
      <c r="AA59" s="4"/>
    </row>
    <row r="60" spans="20:27" ht="12.75" x14ac:dyDescent="0.35">
      <c r="T60"/>
      <c r="X60" s="4"/>
      <c r="Y60" s="4"/>
      <c r="Z60" s="4"/>
      <c r="AA60" s="4"/>
    </row>
    <row r="61" spans="20:27" ht="12.75" x14ac:dyDescent="0.35">
      <c r="T61"/>
      <c r="X61" s="4"/>
      <c r="Y61" s="4"/>
      <c r="Z61" s="4"/>
      <c r="AA61" s="4"/>
    </row>
    <row r="62" spans="20:27" ht="12.75" x14ac:dyDescent="0.35">
      <c r="T62"/>
      <c r="X62" s="4"/>
      <c r="Y62" s="4"/>
      <c r="Z62" s="4"/>
      <c r="AA62" s="4"/>
    </row>
    <row r="63" spans="20:27" ht="12.75" x14ac:dyDescent="0.35">
      <c r="T63"/>
      <c r="X63" s="4"/>
      <c r="Y63" s="4"/>
      <c r="Z63" s="4"/>
      <c r="AA63" s="4"/>
    </row>
    <row r="64" spans="20:27" ht="12.75" x14ac:dyDescent="0.35">
      <c r="T64"/>
      <c r="X64" s="4"/>
      <c r="Y64" s="4"/>
      <c r="Z64" s="4"/>
      <c r="AA64" s="4"/>
    </row>
    <row r="65" spans="20:27" ht="12.75" x14ac:dyDescent="0.35">
      <c r="T65"/>
      <c r="X65" s="4"/>
      <c r="Y65" s="4"/>
      <c r="Z65" s="4"/>
      <c r="AA65" s="4"/>
    </row>
    <row r="66" spans="20:27" x14ac:dyDescent="0.4">
      <c r="W66" s="4"/>
    </row>
    <row r="67" spans="20:27" x14ac:dyDescent="0.4">
      <c r="W67" s="4"/>
    </row>
    <row r="68" spans="20:27" x14ac:dyDescent="0.4">
      <c r="W68" s="4"/>
    </row>
    <row r="69" spans="20:27" x14ac:dyDescent="0.4">
      <c r="W69" s="4"/>
    </row>
    <row r="70" spans="20:27" x14ac:dyDescent="0.4">
      <c r="W70" s="4"/>
    </row>
    <row r="71" spans="20:27" x14ac:dyDescent="0.4">
      <c r="W71" s="4"/>
    </row>
    <row r="72" spans="20:27" x14ac:dyDescent="0.4">
      <c r="W72" s="4"/>
    </row>
    <row r="73" spans="20:27" x14ac:dyDescent="0.4">
      <c r="W73" s="4"/>
    </row>
    <row r="74" spans="20:27" x14ac:dyDescent="0.4">
      <c r="W74" s="4"/>
    </row>
    <row r="75" spans="20:27" x14ac:dyDescent="0.4">
      <c r="W75" s="4"/>
    </row>
  </sheetData>
  <conditionalFormatting sqref="J1:J104857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6:J70">
    <cfRule type="cellIs" dxfId="6" priority="3" operator="greaterThan">
      <formula>1</formula>
    </cfRule>
  </conditionalFormatting>
  <conditionalFormatting sqref="R1:R1048576">
    <cfRule type="colorScale" priority="1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729DC-8C85-4461-8449-C74F7AE9A422}">
  <dimension ref="A1:BC75"/>
  <sheetViews>
    <sheetView topLeftCell="P1" zoomScale="59" zoomScaleNormal="100" workbookViewId="0">
      <selection activeCell="AA8" sqref="AA8"/>
    </sheetView>
  </sheetViews>
  <sheetFormatPr defaultRowHeight="13.15" x14ac:dyDescent="0.4"/>
  <cols>
    <col min="18" max="18" width="9.86328125" style="3" bestFit="1" customWidth="1"/>
    <col min="20" max="20" width="9" style="42"/>
    <col min="21" max="21" width="9" style="4"/>
  </cols>
  <sheetData>
    <row r="1" spans="1:55" x14ac:dyDescent="0.4">
      <c r="A1" t="s">
        <v>57</v>
      </c>
      <c r="B1" t="str" cm="1">
        <f t="array" aca="1" ref="B1:AA1" ca="1">_xlfn.ANCHORARRAY(SORT!A1)</f>
        <v>Instrument</v>
      </c>
      <c r="C1" t="str">
        <f ca="1"/>
        <v>Name</v>
      </c>
      <c r="D1" t="str">
        <f ca="1"/>
        <v>Ticker</v>
      </c>
      <c r="E1" t="str">
        <f ca="1"/>
        <v>Country/Region</v>
      </c>
      <c r="F1" t="str">
        <f ca="1"/>
        <v>Currency</v>
      </c>
      <c r="G1" t="str">
        <f ca="1"/>
        <v>Maturity</v>
      </c>
      <c r="H1" t="str">
        <f ca="1"/>
        <v>Coupon Type</v>
      </c>
      <c r="I1" t="str">
        <f ca="1"/>
        <v>Coupon Frequency</v>
      </c>
      <c r="J1" t="str">
        <f ca="1"/>
        <v>Coupon</v>
      </c>
      <c r="K1" t="str">
        <f ca="1"/>
        <v>Ask Yield to Maturity</v>
      </c>
      <c r="L1" t="str">
        <f ca="1"/>
        <v>Bid Yield to Maturity</v>
      </c>
      <c r="M1" t="str">
        <f ca="1"/>
        <v>Ask Price</v>
      </c>
      <c r="N1" t="str">
        <f ca="1"/>
        <v>Bid Price</v>
      </c>
      <c r="O1" t="str">
        <f ca="1"/>
        <v>Identifier</v>
      </c>
      <c r="P1" t="str">
        <f ca="1"/>
        <v>ISIN</v>
      </c>
      <c r="Q1" t="str">
        <f ca="1"/>
        <v>Bloomberg Composite Rating</v>
      </c>
      <c r="R1" s="3" t="str">
        <f ca="1"/>
        <v>Announce</v>
      </c>
      <c r="S1" t="str">
        <f ca="1"/>
        <v>Next Coupon Settle Date</v>
      </c>
      <c r="T1" s="41" t="str">
        <f ca="1"/>
        <v>Time</v>
      </c>
      <c r="U1" s="4" t="str">
        <f ca="1"/>
        <v>AVG Price</v>
      </c>
      <c r="V1" t="str">
        <f ca="1"/>
        <v>ID</v>
      </c>
      <c r="W1" t="str">
        <f ca="1"/>
        <v>TIMEish</v>
      </c>
      <c r="X1" t="str">
        <f ca="1"/>
        <v>years ago</v>
      </c>
      <c r="Y1" t="str">
        <f ca="1"/>
        <v>Accrued Interest</v>
      </c>
      <c r="Z1" t="str">
        <f ca="1"/>
        <v>Clean price</v>
      </c>
      <c r="AA1" t="str">
        <f ca="1"/>
        <v>AVG yield</v>
      </c>
      <c r="AD1" t="str" cm="1">
        <f t="array" aca="1" ref="AD1:BC1" ca="1">_xlfn.ANCHORARRAY(B1)</f>
        <v>Instrument</v>
      </c>
      <c r="AE1" t="str">
        <f ca="1"/>
        <v>Name</v>
      </c>
      <c r="AF1" t="str">
        <f ca="1"/>
        <v>Ticker</v>
      </c>
      <c r="AG1" t="str">
        <f ca="1"/>
        <v>Country/Region</v>
      </c>
      <c r="AH1" t="str">
        <f ca="1"/>
        <v>Currency</v>
      </c>
      <c r="AI1" t="str">
        <f ca="1"/>
        <v>Maturity</v>
      </c>
      <c r="AJ1" t="str">
        <f ca="1"/>
        <v>Coupon Type</v>
      </c>
      <c r="AK1" t="str">
        <f ca="1"/>
        <v>Coupon Frequency</v>
      </c>
      <c r="AL1" t="str">
        <f ca="1"/>
        <v>Coupon</v>
      </c>
      <c r="AM1" t="str">
        <f ca="1"/>
        <v>Ask Yield to Maturity</v>
      </c>
      <c r="AN1" t="str">
        <f ca="1"/>
        <v>Bid Yield to Maturity</v>
      </c>
      <c r="AO1" t="str">
        <f ca="1"/>
        <v>Ask Price</v>
      </c>
      <c r="AP1" t="str">
        <f ca="1"/>
        <v>Bid Price</v>
      </c>
      <c r="AQ1" t="str">
        <f ca="1"/>
        <v>Identifier</v>
      </c>
      <c r="AR1" t="str">
        <f ca="1"/>
        <v>ISIN</v>
      </c>
      <c r="AS1" t="str">
        <f ca="1"/>
        <v>Bloomberg Composite Rating</v>
      </c>
      <c r="AT1" t="str">
        <f ca="1"/>
        <v>Announce</v>
      </c>
      <c r="AU1" t="str">
        <f ca="1"/>
        <v>Next Coupon Settle Date</v>
      </c>
      <c r="AV1" t="str">
        <f ca="1"/>
        <v>Time</v>
      </c>
      <c r="AW1" t="str">
        <f ca="1"/>
        <v>AVG Price</v>
      </c>
      <c r="AX1" t="str">
        <f ca="1"/>
        <v>ID</v>
      </c>
      <c r="AY1" t="str">
        <f ca="1"/>
        <v>TIMEish</v>
      </c>
      <c r="AZ1" t="str">
        <f ca="1"/>
        <v>years ago</v>
      </c>
      <c r="BA1" t="str">
        <f ca="1"/>
        <v>Accrued Interest</v>
      </c>
      <c r="BB1" t="str">
        <f ca="1"/>
        <v>Clean price</v>
      </c>
      <c r="BC1" t="str">
        <f ca="1"/>
        <v>AVG yield</v>
      </c>
    </row>
    <row r="2" spans="1:55" ht="12.75" x14ac:dyDescent="0.35">
      <c r="B2" t="str" cm="1">
        <f t="array" aca="1" ref="B2:AA14" ca="1">_xlfn._xlws.FILTER(_xlfn.ANCHORARRAY(AD2),OFFSET(AY1,1,,COUNT(AY:AY))&gt;0)</f>
        <v>YN599739 Corp</v>
      </c>
      <c r="C2" t="str">
        <f ca="1"/>
        <v>Toyota Finance Corp</v>
      </c>
      <c r="D2" t="str">
        <f ca="1"/>
        <v>TOYOTA</v>
      </c>
      <c r="E2" t="str">
        <f ca="1"/>
        <v>JP</v>
      </c>
      <c r="F2" t="str">
        <f ca="1"/>
        <v>JPY</v>
      </c>
      <c r="G2" t="str">
        <f ca="1"/>
        <v>22/07/2027</v>
      </c>
      <c r="H2" t="str">
        <f ca="1"/>
        <v>FIXED</v>
      </c>
      <c r="I2">
        <f ca="1"/>
        <v>2</v>
      </c>
      <c r="J2">
        <f ca="1"/>
        <v>0.96599999999999997</v>
      </c>
      <c r="K2">
        <f ca="1"/>
        <v>1.34</v>
      </c>
      <c r="L2">
        <f ca="1"/>
        <v>1.3540000000000001</v>
      </c>
      <c r="M2">
        <f ca="1"/>
        <v>99.5</v>
      </c>
      <c r="N2">
        <f ca="1"/>
        <v>99.481999999999999</v>
      </c>
      <c r="O2" t="str">
        <f ca="1"/>
        <v>YN5997393</v>
      </c>
      <c r="P2" t="str">
        <f ca="1"/>
        <v>JP363360AR78</v>
      </c>
      <c r="Q2" t="str">
        <f ca="1"/>
        <v>A+</v>
      </c>
      <c r="R2" s="3" t="str">
        <f ca="1"/>
        <v>15/07/2025</v>
      </c>
      <c r="S2" t="str">
        <f ca="1"/>
        <v>22/07/2026</v>
      </c>
      <c r="T2">
        <f ca="1"/>
        <v>1.3114305270362765</v>
      </c>
      <c r="U2" s="4">
        <f ca="1"/>
        <v>99.491</v>
      </c>
      <c r="V2">
        <f ca="1"/>
        <v>11</v>
      </c>
      <c r="W2">
        <f ca="1"/>
        <v>1</v>
      </c>
      <c r="X2" s="4">
        <f ca="1"/>
        <v>1</v>
      </c>
      <c r="Y2" s="4">
        <f ca="1"/>
        <v>0.35561538461538461</v>
      </c>
      <c r="Z2" s="4">
        <f ca="1"/>
        <v>99.135384615384609</v>
      </c>
      <c r="AA2" s="4">
        <f ca="1"/>
        <v>1.347</v>
      </c>
      <c r="AB2" s="4"/>
      <c r="AD2" t="str" cm="1">
        <f t="array" aca="1" ref="AD2:BC14" ca="1">_xlfn._xlws.FILTER(_xlfn.ANCHORARRAY(SORT!A2),SORT!W2:W38&lt;=1)</f>
        <v>YN599739 Corp</v>
      </c>
      <c r="AE2" t="str">
        <f ca="1"/>
        <v>Toyota Finance Corp</v>
      </c>
      <c r="AF2" t="str">
        <f ca="1"/>
        <v>TOYOTA</v>
      </c>
      <c r="AG2" t="str">
        <f ca="1"/>
        <v>JP</v>
      </c>
      <c r="AH2" t="str">
        <f ca="1"/>
        <v>JPY</v>
      </c>
      <c r="AI2" t="str">
        <f ca="1"/>
        <v>22/07/2027</v>
      </c>
      <c r="AJ2" t="str">
        <f ca="1"/>
        <v>FIXED</v>
      </c>
      <c r="AK2">
        <f ca="1"/>
        <v>2</v>
      </c>
      <c r="AL2">
        <f ca="1"/>
        <v>0.96599999999999997</v>
      </c>
      <c r="AM2">
        <f ca="1"/>
        <v>1.34</v>
      </c>
      <c r="AN2">
        <f ca="1"/>
        <v>1.3540000000000001</v>
      </c>
      <c r="AO2">
        <f ca="1"/>
        <v>99.5</v>
      </c>
      <c r="AP2">
        <f ca="1"/>
        <v>99.481999999999999</v>
      </c>
      <c r="AQ2" t="str">
        <f ca="1"/>
        <v>YN5997393</v>
      </c>
      <c r="AR2" t="str">
        <f ca="1"/>
        <v>JP363360AR78</v>
      </c>
      <c r="AS2" t="str">
        <f ca="1"/>
        <v>A+</v>
      </c>
      <c r="AT2" t="str">
        <f ca="1"/>
        <v>15/07/2025</v>
      </c>
      <c r="AU2" t="str">
        <f ca="1"/>
        <v>22/07/2026</v>
      </c>
      <c r="AV2">
        <f ca="1"/>
        <v>1.3114305270362765</v>
      </c>
      <c r="AW2">
        <f ca="1"/>
        <v>99.491</v>
      </c>
      <c r="AX2">
        <f ca="1"/>
        <v>11</v>
      </c>
      <c r="AY2">
        <f ca="1"/>
        <v>1</v>
      </c>
      <c r="AZ2">
        <f ca="1"/>
        <v>1</v>
      </c>
      <c r="BA2">
        <f ca="1"/>
        <v>0.35561538461538461</v>
      </c>
      <c r="BB2">
        <f ca="1"/>
        <v>99.135384615384609</v>
      </c>
      <c r="BC2">
        <f ca="1"/>
        <v>1.347</v>
      </c>
    </row>
    <row r="3" spans="1:55" ht="12.75" x14ac:dyDescent="0.35">
      <c r="B3" t="str">
        <f ca="1"/>
        <v>YK172992 Corp</v>
      </c>
      <c r="C3" t="str">
        <f ca="1"/>
        <v>Toyota Finance Corp</v>
      </c>
      <c r="D3" t="str">
        <f ca="1"/>
        <v>TOYOTA</v>
      </c>
      <c r="E3" t="str">
        <f ca="1"/>
        <v>JP</v>
      </c>
      <c r="F3" t="str">
        <f ca="1"/>
        <v>JPY</v>
      </c>
      <c r="G3" t="str">
        <f ca="1"/>
        <v>15/10/2027</v>
      </c>
      <c r="H3" t="str">
        <f ca="1"/>
        <v>FIXED</v>
      </c>
      <c r="I3">
        <f ca="1"/>
        <v>2</v>
      </c>
      <c r="J3">
        <f ca="1"/>
        <v>1.089</v>
      </c>
      <c r="K3">
        <f ca="1"/>
        <v>1.3959999999999999</v>
      </c>
      <c r="L3">
        <f ca="1"/>
        <v>1.411</v>
      </c>
      <c r="M3">
        <f ca="1"/>
        <v>99.521000000000001</v>
      </c>
      <c r="N3">
        <f ca="1"/>
        <v>99.498000000000005</v>
      </c>
      <c r="O3" t="str">
        <f ca="1"/>
        <v>YK1729929</v>
      </c>
      <c r="P3" t="str">
        <f ca="1"/>
        <v>JP363360CRA3</v>
      </c>
      <c r="Q3" t="str">
        <f ca="1"/>
        <v>A+</v>
      </c>
      <c r="R3" s="3" t="str">
        <f ca="1"/>
        <v>10/10/2025</v>
      </c>
      <c r="S3" t="str">
        <f ca="1"/>
        <v>17/04/2026</v>
      </c>
      <c r="T3">
        <f ca="1"/>
        <v>1.5441478439425051</v>
      </c>
      <c r="U3" s="4">
        <f ca="1"/>
        <v>99.509500000000003</v>
      </c>
      <c r="V3">
        <f ca="1"/>
        <v>37</v>
      </c>
      <c r="W3">
        <f ca="1"/>
        <v>1.5</v>
      </c>
      <c r="X3" s="4">
        <f ca="1"/>
        <v>1</v>
      </c>
      <c r="Y3" s="4">
        <f ca="1"/>
        <v>0.98129670329670327</v>
      </c>
      <c r="Z3" s="4">
        <f ca="1"/>
        <v>98.528203296703296</v>
      </c>
      <c r="AA3" s="4">
        <f ca="1"/>
        <v>1.4035</v>
      </c>
      <c r="AB3" s="4"/>
      <c r="AD3" t="str">
        <f ca="1"/>
        <v>YK172992 Corp</v>
      </c>
      <c r="AE3" t="str">
        <f ca="1"/>
        <v>Toyota Finance Corp</v>
      </c>
      <c r="AF3" t="str">
        <f ca="1"/>
        <v>TOYOTA</v>
      </c>
      <c r="AG3" t="str">
        <f ca="1"/>
        <v>JP</v>
      </c>
      <c r="AH3" t="str">
        <f ca="1"/>
        <v>JPY</v>
      </c>
      <c r="AI3" t="str">
        <f ca="1"/>
        <v>15/10/2027</v>
      </c>
      <c r="AJ3" t="str">
        <f ca="1"/>
        <v>FIXED</v>
      </c>
      <c r="AK3">
        <f ca="1"/>
        <v>2</v>
      </c>
      <c r="AL3">
        <f ca="1"/>
        <v>1.089</v>
      </c>
      <c r="AM3">
        <f ca="1"/>
        <v>1.3959999999999999</v>
      </c>
      <c r="AN3">
        <f ca="1"/>
        <v>1.411</v>
      </c>
      <c r="AO3">
        <f ca="1"/>
        <v>99.521000000000001</v>
      </c>
      <c r="AP3">
        <f ca="1"/>
        <v>99.498000000000005</v>
      </c>
      <c r="AQ3" t="str">
        <f ca="1"/>
        <v>YK1729929</v>
      </c>
      <c r="AR3" t="str">
        <f ca="1"/>
        <v>JP363360CRA3</v>
      </c>
      <c r="AS3" t="str">
        <f ca="1"/>
        <v>A+</v>
      </c>
      <c r="AT3" t="str">
        <f ca="1"/>
        <v>10/10/2025</v>
      </c>
      <c r="AU3" t="str">
        <f ca="1"/>
        <v>17/04/2026</v>
      </c>
      <c r="AV3">
        <f ca="1"/>
        <v>1.5441478439425051</v>
      </c>
      <c r="AW3">
        <f ca="1"/>
        <v>99.509500000000003</v>
      </c>
      <c r="AX3">
        <f ca="1"/>
        <v>37</v>
      </c>
      <c r="AY3">
        <f ca="1"/>
        <v>1.5</v>
      </c>
      <c r="AZ3">
        <f ca="1"/>
        <v>1</v>
      </c>
      <c r="BA3">
        <f ca="1"/>
        <v>0.98129670329670327</v>
      </c>
      <c r="BB3">
        <f ca="1"/>
        <v>98.528203296703296</v>
      </c>
      <c r="BC3">
        <f ca="1"/>
        <v>1.4035</v>
      </c>
    </row>
    <row r="4" spans="1:55" ht="12.75" x14ac:dyDescent="0.35">
      <c r="B4" t="str">
        <f ca="1"/>
        <v>YT967931 Corp</v>
      </c>
      <c r="C4" t="str">
        <f ca="1"/>
        <v>Toyota Finance Corp</v>
      </c>
      <c r="D4" t="str">
        <f ca="1"/>
        <v>TOYOTA</v>
      </c>
      <c r="E4" t="str">
        <f ca="1"/>
        <v>JP</v>
      </c>
      <c r="F4" t="str">
        <f ca="1"/>
        <v>JPY</v>
      </c>
      <c r="G4" t="str">
        <f ca="1"/>
        <v>21/01/2028</v>
      </c>
      <c r="H4" t="str">
        <f ca="1"/>
        <v>FIXED</v>
      </c>
      <c r="I4">
        <f ca="1"/>
        <v>2</v>
      </c>
      <c r="J4">
        <f ca="1"/>
        <v>0.9</v>
      </c>
      <c r="K4">
        <f ca="1"/>
        <v>1.452</v>
      </c>
      <c r="L4">
        <f ca="1"/>
        <v>1.464</v>
      </c>
      <c r="M4">
        <f ca="1"/>
        <v>99</v>
      </c>
      <c r="N4">
        <f ca="1"/>
        <v>98.977999999999994</v>
      </c>
      <c r="O4" t="str">
        <f ca="1"/>
        <v>YT9679317</v>
      </c>
      <c r="P4" t="str">
        <f ca="1"/>
        <v>JP363360AR11</v>
      </c>
      <c r="Q4" t="str">
        <f ca="1"/>
        <v>A+</v>
      </c>
      <c r="R4" s="3" t="str">
        <f ca="1"/>
        <v>17/01/2025</v>
      </c>
      <c r="S4" t="str">
        <f ca="1"/>
        <v>23/07/2026</v>
      </c>
      <c r="T4">
        <f ca="1"/>
        <v>1.8124572210814511</v>
      </c>
      <c r="U4" s="4">
        <f ca="1"/>
        <v>98.989000000000004</v>
      </c>
      <c r="V4">
        <f ca="1"/>
        <v>23</v>
      </c>
      <c r="W4">
        <f ca="1"/>
        <v>1.5</v>
      </c>
      <c r="X4" s="4">
        <f ca="1"/>
        <v>1</v>
      </c>
      <c r="Y4" s="4">
        <f ca="1"/>
        <v>0.32637362637362638</v>
      </c>
      <c r="Z4" s="4">
        <f ca="1"/>
        <v>98.662626373626381</v>
      </c>
      <c r="AA4" s="4">
        <f ca="1"/>
        <v>1.458</v>
      </c>
      <c r="AB4" s="4"/>
      <c r="AD4" t="str">
        <f ca="1"/>
        <v>YT967931 Corp</v>
      </c>
      <c r="AE4" t="str">
        <f ca="1"/>
        <v>Toyota Finance Corp</v>
      </c>
      <c r="AF4" t="str">
        <f ca="1"/>
        <v>TOYOTA</v>
      </c>
      <c r="AG4" t="str">
        <f ca="1"/>
        <v>JP</v>
      </c>
      <c r="AH4" t="str">
        <f ca="1"/>
        <v>JPY</v>
      </c>
      <c r="AI4" t="str">
        <f ca="1"/>
        <v>21/01/2028</v>
      </c>
      <c r="AJ4" t="str">
        <f ca="1"/>
        <v>FIXED</v>
      </c>
      <c r="AK4">
        <f ca="1"/>
        <v>2</v>
      </c>
      <c r="AL4">
        <f ca="1"/>
        <v>0.9</v>
      </c>
      <c r="AM4">
        <f ca="1"/>
        <v>1.452</v>
      </c>
      <c r="AN4">
        <f ca="1"/>
        <v>1.464</v>
      </c>
      <c r="AO4">
        <f ca="1"/>
        <v>99</v>
      </c>
      <c r="AP4">
        <f ca="1"/>
        <v>98.977999999999994</v>
      </c>
      <c r="AQ4" t="str">
        <f ca="1"/>
        <v>YT9679317</v>
      </c>
      <c r="AR4" t="str">
        <f ca="1"/>
        <v>JP363360AR11</v>
      </c>
      <c r="AS4" t="str">
        <f ca="1"/>
        <v>A+</v>
      </c>
      <c r="AT4" t="str">
        <f ca="1"/>
        <v>17/01/2025</v>
      </c>
      <c r="AU4" t="str">
        <f ca="1"/>
        <v>23/07/2026</v>
      </c>
      <c r="AV4">
        <f ca="1"/>
        <v>1.8124572210814511</v>
      </c>
      <c r="AW4">
        <f ca="1"/>
        <v>98.989000000000004</v>
      </c>
      <c r="AX4">
        <f ca="1"/>
        <v>23</v>
      </c>
      <c r="AY4">
        <f ca="1"/>
        <v>1.5</v>
      </c>
      <c r="AZ4">
        <f ca="1"/>
        <v>1</v>
      </c>
      <c r="BA4">
        <f ca="1"/>
        <v>0.32637362637362638</v>
      </c>
      <c r="BB4">
        <f ca="1"/>
        <v>98.662626373626381</v>
      </c>
      <c r="BC4">
        <f ca="1"/>
        <v>1.458</v>
      </c>
    </row>
    <row r="5" spans="1:55" ht="12.75" x14ac:dyDescent="0.35">
      <c r="B5" t="str">
        <f ca="1"/>
        <v>YN599935 Corp</v>
      </c>
      <c r="C5" t="str">
        <f ca="1"/>
        <v>Toyota Finance Corp</v>
      </c>
      <c r="D5" t="str">
        <f ca="1"/>
        <v>TOYOTA</v>
      </c>
      <c r="E5" t="str">
        <f ca="1"/>
        <v>JP</v>
      </c>
      <c r="F5" t="str">
        <f ca="1"/>
        <v>JPY</v>
      </c>
      <c r="G5" t="str">
        <f ca="1"/>
        <v>21/07/2028</v>
      </c>
      <c r="H5" t="str">
        <f ca="1"/>
        <v>FIXED</v>
      </c>
      <c r="I5">
        <f ca="1"/>
        <v>2</v>
      </c>
      <c r="J5">
        <f ca="1"/>
        <v>1.0820000000000001</v>
      </c>
      <c r="K5">
        <f ca="1"/>
        <v>1.468</v>
      </c>
      <c r="L5">
        <f ca="1"/>
        <v>1.5209999999999999</v>
      </c>
      <c r="M5">
        <f ca="1"/>
        <v>99.12</v>
      </c>
      <c r="N5">
        <f ca="1"/>
        <v>98.998999999999995</v>
      </c>
      <c r="O5" t="str">
        <f ca="1"/>
        <v>YN5999357</v>
      </c>
      <c r="P5" t="str">
        <f ca="1"/>
        <v>JP363360BR77</v>
      </c>
      <c r="Q5" t="str">
        <f ca="1"/>
        <v>A+</v>
      </c>
      <c r="R5" s="3" t="str">
        <f ca="1"/>
        <v>15/07/2025</v>
      </c>
      <c r="S5" t="str">
        <f ca="1"/>
        <v>22/07/2026</v>
      </c>
      <c r="T5">
        <f ca="1"/>
        <v>2.3107460643394937</v>
      </c>
      <c r="U5" s="4">
        <f ca="1"/>
        <v>99.0595</v>
      </c>
      <c r="V5">
        <f ca="1"/>
        <v>12</v>
      </c>
      <c r="W5">
        <f ca="1"/>
        <v>2</v>
      </c>
      <c r="X5" s="4">
        <f ca="1"/>
        <v>1</v>
      </c>
      <c r="Y5" s="4">
        <f ca="1"/>
        <v>0.39831868131868137</v>
      </c>
      <c r="Z5" s="4">
        <f ca="1"/>
        <v>98.661181318681315</v>
      </c>
      <c r="AA5" s="4">
        <f ca="1"/>
        <v>1.4944999999999999</v>
      </c>
      <c r="AB5" s="4"/>
      <c r="AD5" t="str">
        <f ca="1"/>
        <v>YN599935 Corp</v>
      </c>
      <c r="AE5" t="str">
        <f ca="1"/>
        <v>Toyota Finance Corp</v>
      </c>
      <c r="AF5" t="str">
        <f ca="1"/>
        <v>TOYOTA</v>
      </c>
      <c r="AG5" t="str">
        <f ca="1"/>
        <v>JP</v>
      </c>
      <c r="AH5" t="str">
        <f ca="1"/>
        <v>JPY</v>
      </c>
      <c r="AI5" t="str">
        <f ca="1"/>
        <v>21/07/2028</v>
      </c>
      <c r="AJ5" t="str">
        <f ca="1"/>
        <v>FIXED</v>
      </c>
      <c r="AK5">
        <f ca="1"/>
        <v>2</v>
      </c>
      <c r="AL5">
        <f ca="1"/>
        <v>1.0820000000000001</v>
      </c>
      <c r="AM5">
        <f ca="1"/>
        <v>1.468</v>
      </c>
      <c r="AN5">
        <f ca="1"/>
        <v>1.5209999999999999</v>
      </c>
      <c r="AO5">
        <f ca="1"/>
        <v>99.12</v>
      </c>
      <c r="AP5">
        <f ca="1"/>
        <v>98.998999999999995</v>
      </c>
      <c r="AQ5" t="str">
        <f ca="1"/>
        <v>YN5999357</v>
      </c>
      <c r="AR5" t="str">
        <f ca="1"/>
        <v>JP363360BR77</v>
      </c>
      <c r="AS5" t="str">
        <f ca="1"/>
        <v>A+</v>
      </c>
      <c r="AT5" t="str">
        <f ca="1"/>
        <v>15/07/2025</v>
      </c>
      <c r="AU5" t="str">
        <f ca="1"/>
        <v>22/07/2026</v>
      </c>
      <c r="AV5">
        <f ca="1"/>
        <v>2.3107460643394937</v>
      </c>
      <c r="AW5">
        <f ca="1"/>
        <v>99.0595</v>
      </c>
      <c r="AX5">
        <f ca="1"/>
        <v>12</v>
      </c>
      <c r="AY5">
        <f ca="1"/>
        <v>2</v>
      </c>
      <c r="AZ5">
        <f ca="1"/>
        <v>1</v>
      </c>
      <c r="BA5">
        <f ca="1"/>
        <v>0.39831868131868137</v>
      </c>
      <c r="BB5">
        <f ca="1"/>
        <v>98.661181318681315</v>
      </c>
      <c r="BC5">
        <f ca="1"/>
        <v>1.4944999999999999</v>
      </c>
    </row>
    <row r="6" spans="1:55" ht="12.75" x14ac:dyDescent="0.35">
      <c r="B6" t="str">
        <f ca="1"/>
        <v>YK173548 Corp</v>
      </c>
      <c r="C6" t="str">
        <f ca="1"/>
        <v>Toyota Finance Corp</v>
      </c>
      <c r="D6" t="str">
        <f ca="1"/>
        <v>TOYOTA</v>
      </c>
      <c r="E6" t="str">
        <f ca="1"/>
        <v>JP</v>
      </c>
      <c r="F6" t="str">
        <f ca="1"/>
        <v>JPY</v>
      </c>
      <c r="G6" t="str">
        <f ca="1"/>
        <v>17/10/2028</v>
      </c>
      <c r="H6" t="str">
        <f ca="1"/>
        <v>FIXED</v>
      </c>
      <c r="I6">
        <f ca="1"/>
        <v>2</v>
      </c>
      <c r="J6">
        <f ca="1"/>
        <v>1.234</v>
      </c>
      <c r="K6">
        <f ca="1"/>
        <v>1.542</v>
      </c>
      <c r="L6">
        <f ca="1"/>
        <v>1.554</v>
      </c>
      <c r="M6">
        <f ca="1"/>
        <v>99.23</v>
      </c>
      <c r="N6">
        <f ca="1"/>
        <v>99.197999999999993</v>
      </c>
      <c r="O6" t="str">
        <f ca="1"/>
        <v>YK1735488</v>
      </c>
      <c r="P6" t="str">
        <f ca="1"/>
        <v>JP363360DRA1</v>
      </c>
      <c r="Q6" t="str">
        <f ca="1"/>
        <v>A+</v>
      </c>
      <c r="R6" s="3" t="str">
        <f ca="1"/>
        <v>10/10/2025</v>
      </c>
      <c r="S6" t="str">
        <f ca="1"/>
        <v>17/04/2026</v>
      </c>
      <c r="T6">
        <f ca="1"/>
        <v>2.5516769336071183</v>
      </c>
      <c r="U6" s="4">
        <f ca="1"/>
        <v>99.213999999999999</v>
      </c>
      <c r="V6">
        <f ca="1"/>
        <v>33</v>
      </c>
      <c r="W6">
        <f ca="1"/>
        <v>2.5</v>
      </c>
      <c r="X6" s="4">
        <f ca="1"/>
        <v>1</v>
      </c>
      <c r="Y6" s="4">
        <f ca="1"/>
        <v>1.1119560439560439</v>
      </c>
      <c r="Z6" s="4">
        <f ca="1"/>
        <v>98.102043956043957</v>
      </c>
      <c r="AA6" s="4">
        <f ca="1"/>
        <v>1.548</v>
      </c>
      <c r="AB6" s="4"/>
      <c r="AD6" t="str">
        <f ca="1"/>
        <v>YK173548 Corp</v>
      </c>
      <c r="AE6" t="str">
        <f ca="1"/>
        <v>Toyota Finance Corp</v>
      </c>
      <c r="AF6" t="str">
        <f ca="1"/>
        <v>TOYOTA</v>
      </c>
      <c r="AG6" t="str">
        <f ca="1"/>
        <v>JP</v>
      </c>
      <c r="AH6" t="str">
        <f ca="1"/>
        <v>JPY</v>
      </c>
      <c r="AI6" t="str">
        <f ca="1"/>
        <v>17/10/2028</v>
      </c>
      <c r="AJ6" t="str">
        <f ca="1"/>
        <v>FIXED</v>
      </c>
      <c r="AK6">
        <f ca="1"/>
        <v>2</v>
      </c>
      <c r="AL6">
        <f ca="1"/>
        <v>1.234</v>
      </c>
      <c r="AM6">
        <f ca="1"/>
        <v>1.542</v>
      </c>
      <c r="AN6">
        <f ca="1"/>
        <v>1.554</v>
      </c>
      <c r="AO6">
        <f ca="1"/>
        <v>99.23</v>
      </c>
      <c r="AP6">
        <f ca="1"/>
        <v>99.197999999999993</v>
      </c>
      <c r="AQ6" t="str">
        <f ca="1"/>
        <v>YK1735488</v>
      </c>
      <c r="AR6" t="str">
        <f ca="1"/>
        <v>JP363360DRA1</v>
      </c>
      <c r="AS6" t="str">
        <f ca="1"/>
        <v>A+</v>
      </c>
      <c r="AT6" t="str">
        <f ca="1"/>
        <v>10/10/2025</v>
      </c>
      <c r="AU6" t="str">
        <f ca="1"/>
        <v>17/04/2026</v>
      </c>
      <c r="AV6">
        <f ca="1"/>
        <v>2.5516769336071183</v>
      </c>
      <c r="AW6">
        <f ca="1"/>
        <v>99.213999999999999</v>
      </c>
      <c r="AX6">
        <f ca="1"/>
        <v>33</v>
      </c>
      <c r="AY6">
        <f ca="1"/>
        <v>2.5</v>
      </c>
      <c r="AZ6">
        <f ca="1"/>
        <v>1</v>
      </c>
      <c r="BA6">
        <f ca="1"/>
        <v>1.1119560439560439</v>
      </c>
      <c r="BB6">
        <f ca="1"/>
        <v>98.102043956043957</v>
      </c>
      <c r="BC6">
        <f ca="1"/>
        <v>1.548</v>
      </c>
    </row>
    <row r="7" spans="1:55" ht="12.75" x14ac:dyDescent="0.35">
      <c r="B7" t="str">
        <f ca="1"/>
        <v>DA928584 Corp</v>
      </c>
      <c r="C7" t="str">
        <f ca="1"/>
        <v>Toyota Finance Corp</v>
      </c>
      <c r="D7" t="str">
        <f ca="1"/>
        <v>TOYOTA</v>
      </c>
      <c r="E7" t="str">
        <f ca="1"/>
        <v>JP</v>
      </c>
      <c r="F7" t="str">
        <f ca="1"/>
        <v>JPY</v>
      </c>
      <c r="G7" t="str">
        <f ca="1"/>
        <v>01/12/2028</v>
      </c>
      <c r="H7" t="str">
        <f ca="1"/>
        <v>FIXED</v>
      </c>
      <c r="I7">
        <f ca="1"/>
        <v>2</v>
      </c>
      <c r="J7">
        <f ca="1"/>
        <v>1.35</v>
      </c>
      <c r="K7">
        <f ca="1"/>
        <v>1.407</v>
      </c>
      <c r="L7">
        <f ca="1"/>
        <v>1.607</v>
      </c>
      <c r="M7">
        <f ca="1"/>
        <v>99.849000000000004</v>
      </c>
      <c r="N7">
        <f ca="1"/>
        <v>99.328000000000003</v>
      </c>
      <c r="O7" t="str">
        <f ca="1"/>
        <v>DA9285846</v>
      </c>
      <c r="P7" t="str">
        <f ca="1"/>
        <v>JP363360ARQ3</v>
      </c>
      <c r="Q7" t="str">
        <f ca="1"/>
        <v>#N/A N/A</v>
      </c>
      <c r="R7" s="3" t="str">
        <f ca="1"/>
        <v>27/11/2025</v>
      </c>
      <c r="S7" t="str">
        <f ca="1"/>
        <v>03/06/2026</v>
      </c>
      <c r="T7">
        <f ca="1"/>
        <v>2.6748802190280632</v>
      </c>
      <c r="U7" s="4">
        <f ca="1"/>
        <v>99.58850000000001</v>
      </c>
      <c r="V7">
        <f ca="1"/>
        <v>8</v>
      </c>
      <c r="W7">
        <f ca="1"/>
        <v>2.5</v>
      </c>
      <c r="X7" s="4">
        <f ca="1"/>
        <v>1</v>
      </c>
      <c r="Y7" s="4">
        <f ca="1"/>
        <v>0.86785714285714299</v>
      </c>
      <c r="Z7" s="4">
        <f ca="1"/>
        <v>98.720642857142863</v>
      </c>
      <c r="AA7" s="4">
        <f ca="1"/>
        <v>1.5070000000000001</v>
      </c>
      <c r="AB7" s="4"/>
      <c r="AD7" t="str">
        <f ca="1"/>
        <v>DA928584 Corp</v>
      </c>
      <c r="AE7" t="str">
        <f ca="1"/>
        <v>Toyota Finance Corp</v>
      </c>
      <c r="AF7" t="str">
        <f ca="1"/>
        <v>TOYOTA</v>
      </c>
      <c r="AG7" t="str">
        <f ca="1"/>
        <v>JP</v>
      </c>
      <c r="AH7" t="str">
        <f ca="1"/>
        <v>JPY</v>
      </c>
      <c r="AI7" t="str">
        <f ca="1"/>
        <v>01/12/2028</v>
      </c>
      <c r="AJ7" t="str">
        <f ca="1"/>
        <v>FIXED</v>
      </c>
      <c r="AK7">
        <f ca="1"/>
        <v>2</v>
      </c>
      <c r="AL7">
        <f ca="1"/>
        <v>1.35</v>
      </c>
      <c r="AM7">
        <f ca="1"/>
        <v>1.407</v>
      </c>
      <c r="AN7">
        <f ca="1"/>
        <v>1.607</v>
      </c>
      <c r="AO7">
        <f ca="1"/>
        <v>99.849000000000004</v>
      </c>
      <c r="AP7">
        <f ca="1"/>
        <v>99.328000000000003</v>
      </c>
      <c r="AQ7" t="str">
        <f ca="1"/>
        <v>DA9285846</v>
      </c>
      <c r="AR7" t="str">
        <f ca="1"/>
        <v>JP363360ARQ3</v>
      </c>
      <c r="AS7" t="str">
        <f ca="1"/>
        <v>#N/A N/A</v>
      </c>
      <c r="AT7" t="str">
        <f ca="1"/>
        <v>27/11/2025</v>
      </c>
      <c r="AU7" t="str">
        <f ca="1"/>
        <v>03/06/2026</v>
      </c>
      <c r="AV7">
        <f ca="1"/>
        <v>2.6748802190280632</v>
      </c>
      <c r="AW7">
        <f ca="1"/>
        <v>99.58850000000001</v>
      </c>
      <c r="AX7">
        <f ca="1"/>
        <v>8</v>
      </c>
      <c r="AY7">
        <f ca="1"/>
        <v>2.5</v>
      </c>
      <c r="AZ7">
        <f ca="1"/>
        <v>1</v>
      </c>
      <c r="BA7">
        <f ca="1"/>
        <v>0.86785714285714299</v>
      </c>
      <c r="BB7">
        <f ca="1"/>
        <v>98.720642857142863</v>
      </c>
      <c r="BC7">
        <f ca="1"/>
        <v>1.5070000000000001</v>
      </c>
    </row>
    <row r="8" spans="1:55" ht="12.75" x14ac:dyDescent="0.35">
      <c r="B8" t="str">
        <f ca="1"/>
        <v>YT968038 Corp</v>
      </c>
      <c r="C8" t="str">
        <f ca="1"/>
        <v>Toyota Finance Corp</v>
      </c>
      <c r="D8" t="str">
        <f ca="1"/>
        <v>TOYOTA</v>
      </c>
      <c r="E8" t="str">
        <f ca="1"/>
        <v>JP</v>
      </c>
      <c r="F8" t="str">
        <f ca="1"/>
        <v>JPY</v>
      </c>
      <c r="G8" t="str">
        <f ca="1"/>
        <v>23/01/2030</v>
      </c>
      <c r="H8" t="str">
        <f ca="1"/>
        <v>FIXED</v>
      </c>
      <c r="I8">
        <f ca="1"/>
        <v>2</v>
      </c>
      <c r="J8">
        <f ca="1"/>
        <v>1.0509999999999999</v>
      </c>
      <c r="K8">
        <f ca="1"/>
        <v>1.8090000000000002</v>
      </c>
      <c r="L8">
        <f ca="1"/>
        <v>1.8090000000000002</v>
      </c>
      <c r="M8">
        <f ca="1"/>
        <v>97.260999999999996</v>
      </c>
      <c r="N8">
        <f ca="1"/>
        <v>97.260999999999996</v>
      </c>
      <c r="O8" t="str">
        <f ca="1"/>
        <v>YT9680380</v>
      </c>
      <c r="P8" t="str">
        <f ca="1"/>
        <v>JP363360BR10</v>
      </c>
      <c r="Q8" t="str">
        <f ca="1"/>
        <v>A+</v>
      </c>
      <c r="R8" s="3" t="str">
        <f ca="1"/>
        <v>17/01/2025</v>
      </c>
      <c r="S8" t="str">
        <f ca="1"/>
        <v>23/07/2026</v>
      </c>
      <c r="T8">
        <f ca="1"/>
        <v>3.8193018480492813</v>
      </c>
      <c r="U8" s="4">
        <f ca="1"/>
        <v>97.260999999999996</v>
      </c>
      <c r="V8">
        <f ca="1"/>
        <v>19</v>
      </c>
      <c r="W8">
        <f ca="1"/>
        <v>3.5</v>
      </c>
      <c r="X8" s="4">
        <f ca="1"/>
        <v>1</v>
      </c>
      <c r="Y8" s="4">
        <f ca="1"/>
        <v>0.38113186813186811</v>
      </c>
      <c r="Z8" s="4">
        <f ca="1"/>
        <v>96.879868131868122</v>
      </c>
      <c r="AA8" s="4">
        <f ca="1"/>
        <v>1.8090000000000002</v>
      </c>
      <c r="AB8" s="4"/>
      <c r="AD8" t="str">
        <f ca="1"/>
        <v>YT968038 Corp</v>
      </c>
      <c r="AE8" t="str">
        <f ca="1"/>
        <v>Toyota Finance Corp</v>
      </c>
      <c r="AF8" t="str">
        <f ca="1"/>
        <v>TOYOTA</v>
      </c>
      <c r="AG8" t="str">
        <f ca="1"/>
        <v>JP</v>
      </c>
      <c r="AH8" t="str">
        <f ca="1"/>
        <v>JPY</v>
      </c>
      <c r="AI8" t="str">
        <f ca="1"/>
        <v>23/01/2030</v>
      </c>
      <c r="AJ8" t="str">
        <f ca="1"/>
        <v>FIXED</v>
      </c>
      <c r="AK8">
        <f ca="1"/>
        <v>2</v>
      </c>
      <c r="AL8">
        <f ca="1"/>
        <v>1.0509999999999999</v>
      </c>
      <c r="AM8">
        <f ca="1"/>
        <v>1.8090000000000002</v>
      </c>
      <c r="AN8">
        <f ca="1"/>
        <v>1.8090000000000002</v>
      </c>
      <c r="AO8">
        <f ca="1"/>
        <v>97.260999999999996</v>
      </c>
      <c r="AP8">
        <f ca="1"/>
        <v>97.260999999999996</v>
      </c>
      <c r="AQ8" t="str">
        <f ca="1"/>
        <v>YT9680380</v>
      </c>
      <c r="AR8" t="str">
        <f ca="1"/>
        <v>JP363360BR10</v>
      </c>
      <c r="AS8" t="str">
        <f ca="1"/>
        <v>A+</v>
      </c>
      <c r="AT8" t="str">
        <f ca="1"/>
        <v>17/01/2025</v>
      </c>
      <c r="AU8" t="str">
        <f ca="1"/>
        <v>23/07/2026</v>
      </c>
      <c r="AV8">
        <f ca="1"/>
        <v>3.8193018480492813</v>
      </c>
      <c r="AW8">
        <f ca="1"/>
        <v>97.260999999999996</v>
      </c>
      <c r="AX8">
        <f ca="1"/>
        <v>19</v>
      </c>
      <c r="AY8">
        <f ca="1"/>
        <v>3.5</v>
      </c>
      <c r="AZ8">
        <f ca="1"/>
        <v>1</v>
      </c>
      <c r="BA8">
        <f ca="1"/>
        <v>0.38113186813186811</v>
      </c>
      <c r="BB8">
        <f ca="1"/>
        <v>96.879868131868122</v>
      </c>
      <c r="BC8">
        <f ca="1"/>
        <v>1.8090000000000002</v>
      </c>
    </row>
    <row r="9" spans="1:55" ht="12.75" x14ac:dyDescent="0.35">
      <c r="B9" t="str">
        <f ca="1"/>
        <v>YN600126 Corp</v>
      </c>
      <c r="C9" t="str">
        <f ca="1"/>
        <v>Toyota Finance Corp</v>
      </c>
      <c r="D9" t="str">
        <f ca="1"/>
        <v>TOYOTA</v>
      </c>
      <c r="E9" t="str">
        <f ca="1"/>
        <v>JP</v>
      </c>
      <c r="F9" t="str">
        <f ca="1"/>
        <v>JPY</v>
      </c>
      <c r="G9" t="str">
        <f ca="1"/>
        <v>22/07/2030</v>
      </c>
      <c r="H9" t="str">
        <f ca="1"/>
        <v>FIXED</v>
      </c>
      <c r="I9">
        <f ca="1"/>
        <v>2</v>
      </c>
      <c r="J9">
        <f ca="1"/>
        <v>1.3260000000000001</v>
      </c>
      <c r="K9">
        <f ca="1"/>
        <v>1.821</v>
      </c>
      <c r="L9">
        <f ca="1"/>
        <v>1.85</v>
      </c>
      <c r="M9">
        <f ca="1"/>
        <v>98.001000000000005</v>
      </c>
      <c r="N9">
        <f ca="1"/>
        <v>97.885999999999996</v>
      </c>
      <c r="O9" t="str">
        <f ca="1"/>
        <v>YN6001260</v>
      </c>
      <c r="P9" t="str">
        <f ca="1"/>
        <v>JP363360CR76</v>
      </c>
      <c r="Q9" t="str">
        <f ca="1"/>
        <v>A+</v>
      </c>
      <c r="R9" s="3" t="str">
        <f ca="1"/>
        <v>15/07/2025</v>
      </c>
      <c r="S9" t="str">
        <f ca="1"/>
        <v>22/07/2026</v>
      </c>
      <c r="T9">
        <f ca="1"/>
        <v>4.3121149897330593</v>
      </c>
      <c r="U9" s="4">
        <f ca="1"/>
        <v>97.9435</v>
      </c>
      <c r="V9">
        <f ca="1"/>
        <v>13</v>
      </c>
      <c r="W9">
        <f ca="1"/>
        <v>4</v>
      </c>
      <c r="X9" s="4">
        <f ca="1"/>
        <v>1</v>
      </c>
      <c r="Y9" s="4">
        <f ca="1"/>
        <v>0.48814285714285721</v>
      </c>
      <c r="Z9" s="4">
        <f ca="1"/>
        <v>97.455357142857139</v>
      </c>
      <c r="AA9" s="4">
        <f ca="1"/>
        <v>1.8355000000000001</v>
      </c>
      <c r="AB9" s="4"/>
      <c r="AD9" t="str">
        <f ca="1"/>
        <v>YN600126 Corp</v>
      </c>
      <c r="AE9" t="str">
        <f ca="1"/>
        <v>Toyota Finance Corp</v>
      </c>
      <c r="AF9" t="str">
        <f ca="1"/>
        <v>TOYOTA</v>
      </c>
      <c r="AG9" t="str">
        <f ca="1"/>
        <v>JP</v>
      </c>
      <c r="AH9" t="str">
        <f ca="1"/>
        <v>JPY</v>
      </c>
      <c r="AI9" t="str">
        <f ca="1"/>
        <v>22/07/2030</v>
      </c>
      <c r="AJ9" t="str">
        <f ca="1"/>
        <v>FIXED</v>
      </c>
      <c r="AK9">
        <f ca="1"/>
        <v>2</v>
      </c>
      <c r="AL9">
        <f ca="1"/>
        <v>1.3260000000000001</v>
      </c>
      <c r="AM9">
        <f ca="1"/>
        <v>1.821</v>
      </c>
      <c r="AN9">
        <f ca="1"/>
        <v>1.85</v>
      </c>
      <c r="AO9">
        <f ca="1"/>
        <v>98.001000000000005</v>
      </c>
      <c r="AP9">
        <f ca="1"/>
        <v>97.885999999999996</v>
      </c>
      <c r="AQ9" t="str">
        <f ca="1"/>
        <v>YN6001260</v>
      </c>
      <c r="AR9" t="str">
        <f ca="1"/>
        <v>JP363360CR76</v>
      </c>
      <c r="AS9" t="str">
        <f ca="1"/>
        <v>A+</v>
      </c>
      <c r="AT9" t="str">
        <f ca="1"/>
        <v>15/07/2025</v>
      </c>
      <c r="AU9" t="str">
        <f ca="1"/>
        <v>22/07/2026</v>
      </c>
      <c r="AV9">
        <f ca="1"/>
        <v>4.3121149897330593</v>
      </c>
      <c r="AW9">
        <f ca="1"/>
        <v>97.9435</v>
      </c>
      <c r="AX9">
        <f ca="1"/>
        <v>13</v>
      </c>
      <c r="AY9">
        <f ca="1"/>
        <v>4</v>
      </c>
      <c r="AZ9">
        <f ca="1"/>
        <v>1</v>
      </c>
      <c r="BA9">
        <f ca="1"/>
        <v>0.48814285714285721</v>
      </c>
      <c r="BB9">
        <f ca="1"/>
        <v>97.455357142857139</v>
      </c>
      <c r="BC9">
        <f ca="1"/>
        <v>1.8355000000000001</v>
      </c>
    </row>
    <row r="10" spans="1:55" ht="12.75" x14ac:dyDescent="0.35">
      <c r="B10" t="str">
        <f ca="1"/>
        <v>YL396232 Corp</v>
      </c>
      <c r="C10" t="str">
        <f ca="1"/>
        <v>Toyota Motor Corp</v>
      </c>
      <c r="D10" t="str">
        <f ca="1"/>
        <v>TOYOTA</v>
      </c>
      <c r="E10" t="str">
        <f ca="1"/>
        <v>JP</v>
      </c>
      <c r="F10" t="str">
        <f ca="1"/>
        <v>JPY</v>
      </c>
      <c r="G10" t="str">
        <f ca="1"/>
        <v>04/09/2030</v>
      </c>
      <c r="H10" t="str">
        <f ca="1"/>
        <v>FIXED</v>
      </c>
      <c r="I10">
        <f ca="1"/>
        <v>2</v>
      </c>
      <c r="J10">
        <f ca="1"/>
        <v>1.296</v>
      </c>
      <c r="K10">
        <f ca="1"/>
        <v>1.8380000000000001</v>
      </c>
      <c r="L10">
        <f ca="1"/>
        <v>1.8380000000000001</v>
      </c>
      <c r="M10">
        <f ca="1"/>
        <v>97.756</v>
      </c>
      <c r="N10">
        <f ca="1"/>
        <v>97.756</v>
      </c>
      <c r="O10" t="str">
        <f ca="1"/>
        <v>YL3962328</v>
      </c>
      <c r="P10" t="str">
        <f ca="1"/>
        <v>JP363340BR98</v>
      </c>
      <c r="Q10" t="str">
        <f ca="1"/>
        <v>A+</v>
      </c>
      <c r="R10" s="3" t="str">
        <f ca="1"/>
        <v>29/08/2025</v>
      </c>
      <c r="S10" t="str">
        <f ca="1"/>
        <v>04/09/2026</v>
      </c>
      <c r="T10">
        <f ca="1"/>
        <v>4.4325804243668721</v>
      </c>
      <c r="U10" s="4">
        <f ca="1"/>
        <v>97.756</v>
      </c>
      <c r="V10">
        <f ca="1"/>
        <v>9</v>
      </c>
      <c r="W10">
        <f ca="1"/>
        <v>4</v>
      </c>
      <c r="X10" s="4">
        <f ca="1"/>
        <v>1</v>
      </c>
      <c r="Y10" s="4">
        <f ca="1"/>
        <v>0.18514285714285714</v>
      </c>
      <c r="Z10" s="4">
        <f ca="1"/>
        <v>97.570857142857136</v>
      </c>
      <c r="AA10" s="4">
        <f ca="1"/>
        <v>1.8380000000000001</v>
      </c>
      <c r="AB10" s="4"/>
      <c r="AD10" t="str">
        <f ca="1"/>
        <v>YL396232 Corp</v>
      </c>
      <c r="AE10" t="str">
        <f ca="1"/>
        <v>Toyota Motor Corp</v>
      </c>
      <c r="AF10" t="str">
        <f ca="1"/>
        <v>TOYOTA</v>
      </c>
      <c r="AG10" t="str">
        <f ca="1"/>
        <v>JP</v>
      </c>
      <c r="AH10" t="str">
        <f ca="1"/>
        <v>JPY</v>
      </c>
      <c r="AI10" t="str">
        <f ca="1"/>
        <v>04/09/2030</v>
      </c>
      <c r="AJ10" t="str">
        <f ca="1"/>
        <v>FIXED</v>
      </c>
      <c r="AK10">
        <f ca="1"/>
        <v>2</v>
      </c>
      <c r="AL10">
        <f ca="1"/>
        <v>1.296</v>
      </c>
      <c r="AM10">
        <f ca="1"/>
        <v>1.8380000000000001</v>
      </c>
      <c r="AN10">
        <f ca="1"/>
        <v>1.8380000000000001</v>
      </c>
      <c r="AO10">
        <f ca="1"/>
        <v>97.756</v>
      </c>
      <c r="AP10">
        <f ca="1"/>
        <v>97.756</v>
      </c>
      <c r="AQ10" t="str">
        <f ca="1"/>
        <v>YL3962328</v>
      </c>
      <c r="AR10" t="str">
        <f ca="1"/>
        <v>JP363340BR98</v>
      </c>
      <c r="AS10" t="str">
        <f ca="1"/>
        <v>A+</v>
      </c>
      <c r="AT10" t="str">
        <f ca="1"/>
        <v>29/08/2025</v>
      </c>
      <c r="AU10" t="str">
        <f ca="1"/>
        <v>04/09/2026</v>
      </c>
      <c r="AV10">
        <f ca="1"/>
        <v>4.4325804243668721</v>
      </c>
      <c r="AW10">
        <f ca="1"/>
        <v>97.756</v>
      </c>
      <c r="AX10">
        <f ca="1"/>
        <v>9</v>
      </c>
      <c r="AY10">
        <f ca="1"/>
        <v>4</v>
      </c>
      <c r="AZ10">
        <f ca="1"/>
        <v>1</v>
      </c>
      <c r="BA10">
        <f ca="1"/>
        <v>0.18514285714285714</v>
      </c>
      <c r="BB10">
        <f ca="1"/>
        <v>97.570857142857136</v>
      </c>
      <c r="BC10">
        <f ca="1"/>
        <v>1.8380000000000001</v>
      </c>
    </row>
    <row r="11" spans="1:55" ht="12.75" x14ac:dyDescent="0.35">
      <c r="B11" t="str">
        <f ca="1"/>
        <v>YK173563 Corp</v>
      </c>
      <c r="C11" t="str">
        <f ca="1"/>
        <v>Toyota Finance Corp</v>
      </c>
      <c r="D11" t="str">
        <f ca="1"/>
        <v>TOYOTA</v>
      </c>
      <c r="E11" t="str">
        <f ca="1"/>
        <v>JP</v>
      </c>
      <c r="F11" t="str">
        <f ca="1"/>
        <v>JPY</v>
      </c>
      <c r="G11" t="str">
        <f ca="1"/>
        <v>17/10/2030</v>
      </c>
      <c r="H11" t="str">
        <f ca="1"/>
        <v>FIXED</v>
      </c>
      <c r="I11">
        <f ca="1"/>
        <v>2</v>
      </c>
      <c r="J11">
        <f ca="1"/>
        <v>1.4930000000000001</v>
      </c>
      <c r="K11">
        <f ca="1"/>
        <v>1.8879999999999999</v>
      </c>
      <c r="L11">
        <f ca="1"/>
        <v>1.8879999999999999</v>
      </c>
      <c r="M11">
        <f ca="1"/>
        <v>98.328999999999994</v>
      </c>
      <c r="N11">
        <f ca="1"/>
        <v>98.328999999999994</v>
      </c>
      <c r="O11" t="str">
        <f ca="1"/>
        <v>YK1735637</v>
      </c>
      <c r="P11" t="str">
        <f ca="1"/>
        <v>JP363360ARA7</v>
      </c>
      <c r="Q11" t="str">
        <f ca="1"/>
        <v>A+</v>
      </c>
      <c r="R11" s="3" t="str">
        <f ca="1"/>
        <v>10/10/2025</v>
      </c>
      <c r="S11" t="str">
        <f ca="1"/>
        <v>17/04/2026</v>
      </c>
      <c r="T11">
        <f ca="1"/>
        <v>4.5503080082135527</v>
      </c>
      <c r="U11" s="4">
        <f ca="1"/>
        <v>98.328999999999994</v>
      </c>
      <c r="V11">
        <f ca="1"/>
        <v>10</v>
      </c>
      <c r="W11">
        <f ca="1"/>
        <v>4.5</v>
      </c>
      <c r="X11" s="4">
        <f ca="1"/>
        <v>1</v>
      </c>
      <c r="Y11" s="4">
        <f ca="1"/>
        <v>1.3453406593406594</v>
      </c>
      <c r="Z11" s="4">
        <f ca="1"/>
        <v>96.983659340659329</v>
      </c>
      <c r="AA11" s="4">
        <f ca="1"/>
        <v>1.8879999999999999</v>
      </c>
      <c r="AB11" s="4"/>
      <c r="AD11" t="str">
        <f ca="1"/>
        <v>YK173563 Corp</v>
      </c>
      <c r="AE11" t="str">
        <f ca="1"/>
        <v>Toyota Finance Corp</v>
      </c>
      <c r="AF11" t="str">
        <f ca="1"/>
        <v>TOYOTA</v>
      </c>
      <c r="AG11" t="str">
        <f ca="1"/>
        <v>JP</v>
      </c>
      <c r="AH11" t="str">
        <f ca="1"/>
        <v>JPY</v>
      </c>
      <c r="AI11" t="str">
        <f ca="1"/>
        <v>17/10/2030</v>
      </c>
      <c r="AJ11" t="str">
        <f ca="1"/>
        <v>FIXED</v>
      </c>
      <c r="AK11">
        <f ca="1"/>
        <v>2</v>
      </c>
      <c r="AL11">
        <f ca="1"/>
        <v>1.4930000000000001</v>
      </c>
      <c r="AM11">
        <f ca="1"/>
        <v>1.8879999999999999</v>
      </c>
      <c r="AN11">
        <f ca="1"/>
        <v>1.8879999999999999</v>
      </c>
      <c r="AO11">
        <f ca="1"/>
        <v>98.328999999999994</v>
      </c>
      <c r="AP11">
        <f ca="1"/>
        <v>98.328999999999994</v>
      </c>
      <c r="AQ11" t="str">
        <f ca="1"/>
        <v>YK1735637</v>
      </c>
      <c r="AR11" t="str">
        <f ca="1"/>
        <v>JP363360ARA7</v>
      </c>
      <c r="AS11" t="str">
        <f ca="1"/>
        <v>A+</v>
      </c>
      <c r="AT11" t="str">
        <f ca="1"/>
        <v>10/10/2025</v>
      </c>
      <c r="AU11" t="str">
        <f ca="1"/>
        <v>17/04/2026</v>
      </c>
      <c r="AV11">
        <f ca="1"/>
        <v>4.5503080082135527</v>
      </c>
      <c r="AW11">
        <f ca="1"/>
        <v>98.328999999999994</v>
      </c>
      <c r="AX11">
        <f ca="1"/>
        <v>10</v>
      </c>
      <c r="AY11">
        <f ca="1"/>
        <v>4.5</v>
      </c>
      <c r="AZ11">
        <f ca="1"/>
        <v>1</v>
      </c>
      <c r="BA11">
        <f ca="1"/>
        <v>1.3453406593406594</v>
      </c>
      <c r="BB11">
        <f ca="1"/>
        <v>96.983659340659329</v>
      </c>
      <c r="BC11">
        <f ca="1"/>
        <v>1.8879999999999999</v>
      </c>
    </row>
    <row r="12" spans="1:55" ht="12.75" x14ac:dyDescent="0.35">
      <c r="B12" t="str">
        <f ca="1"/>
        <v>YS631917 Corp</v>
      </c>
      <c r="C12" t="str">
        <f ca="1"/>
        <v>Toyota Finance Corp</v>
      </c>
      <c r="D12" t="str">
        <f ca="1"/>
        <v>TOYOTA</v>
      </c>
      <c r="E12" t="str">
        <f ca="1"/>
        <v>JP</v>
      </c>
      <c r="F12" t="str">
        <f ca="1"/>
        <v>JPY</v>
      </c>
      <c r="G12" t="str">
        <f ca="1"/>
        <v>23/01/2032</v>
      </c>
      <c r="H12" t="str">
        <f ca="1"/>
        <v>FIXED</v>
      </c>
      <c r="I12">
        <f ca="1"/>
        <v>2</v>
      </c>
      <c r="J12">
        <f ca="1"/>
        <v>1.18</v>
      </c>
      <c r="K12">
        <f ca="1"/>
        <v>2.0880000000000001</v>
      </c>
      <c r="L12">
        <f ca="1"/>
        <v>2.0880000000000001</v>
      </c>
      <c r="M12">
        <f ca="1"/>
        <v>95.254999999999995</v>
      </c>
      <c r="N12">
        <f ca="1"/>
        <v>95.254999999999995</v>
      </c>
      <c r="O12" t="str">
        <f ca="1"/>
        <v>YS6319174</v>
      </c>
      <c r="P12" t="str">
        <f ca="1"/>
        <v>JP363360CR19</v>
      </c>
      <c r="Q12" t="str">
        <f ca="1"/>
        <v>A+</v>
      </c>
      <c r="R12" s="3" t="str">
        <f ca="1"/>
        <v>17/01/2025</v>
      </c>
      <c r="S12" t="str">
        <f ca="1"/>
        <v>23/07/2026</v>
      </c>
      <c r="T12">
        <f ca="1"/>
        <v>5.8179329226557153</v>
      </c>
      <c r="U12" s="4">
        <f ca="1"/>
        <v>95.254999999999995</v>
      </c>
      <c r="V12">
        <f ca="1"/>
        <v>16</v>
      </c>
      <c r="W12">
        <f ca="1"/>
        <v>5.5</v>
      </c>
      <c r="X12" s="4">
        <f ca="1"/>
        <v>1</v>
      </c>
      <c r="Y12" s="4">
        <f ca="1"/>
        <v>0.4279120879120879</v>
      </c>
      <c r="Z12" s="4">
        <f ca="1"/>
        <v>94.827087912087904</v>
      </c>
      <c r="AA12" s="4">
        <f ca="1"/>
        <v>2.0880000000000001</v>
      </c>
      <c r="AB12" s="4"/>
      <c r="AD12" t="str">
        <f ca="1"/>
        <v>YS631917 Corp</v>
      </c>
      <c r="AE12" t="str">
        <f ca="1"/>
        <v>Toyota Finance Corp</v>
      </c>
      <c r="AF12" t="str">
        <f ca="1"/>
        <v>TOYOTA</v>
      </c>
      <c r="AG12" t="str">
        <f ca="1"/>
        <v>JP</v>
      </c>
      <c r="AH12" t="str">
        <f ca="1"/>
        <v>JPY</v>
      </c>
      <c r="AI12" t="str">
        <f ca="1"/>
        <v>23/01/2032</v>
      </c>
      <c r="AJ12" t="str">
        <f ca="1"/>
        <v>FIXED</v>
      </c>
      <c r="AK12">
        <f ca="1"/>
        <v>2</v>
      </c>
      <c r="AL12">
        <f ca="1"/>
        <v>1.18</v>
      </c>
      <c r="AM12">
        <f ca="1"/>
        <v>2.0880000000000001</v>
      </c>
      <c r="AN12">
        <f ca="1"/>
        <v>2.0880000000000001</v>
      </c>
      <c r="AO12">
        <f ca="1"/>
        <v>95.254999999999995</v>
      </c>
      <c r="AP12">
        <f ca="1"/>
        <v>95.254999999999995</v>
      </c>
      <c r="AQ12" t="str">
        <f ca="1"/>
        <v>YS6319174</v>
      </c>
      <c r="AR12" t="str">
        <f ca="1"/>
        <v>JP363360CR19</v>
      </c>
      <c r="AS12" t="str">
        <f ca="1"/>
        <v>A+</v>
      </c>
      <c r="AT12" t="str">
        <f ca="1"/>
        <v>17/01/2025</v>
      </c>
      <c r="AU12" t="str">
        <f ca="1"/>
        <v>23/07/2026</v>
      </c>
      <c r="AV12">
        <f ca="1"/>
        <v>5.8179329226557153</v>
      </c>
      <c r="AW12">
        <f ca="1"/>
        <v>95.254999999999995</v>
      </c>
      <c r="AX12">
        <f ca="1"/>
        <v>16</v>
      </c>
      <c r="AY12">
        <f ca="1"/>
        <v>5.5</v>
      </c>
      <c r="AZ12">
        <f ca="1"/>
        <v>1</v>
      </c>
      <c r="BA12">
        <f ca="1"/>
        <v>0.4279120879120879</v>
      </c>
      <c r="BB12">
        <f ca="1"/>
        <v>94.827087912087904</v>
      </c>
      <c r="BC12">
        <f ca="1"/>
        <v>2.0880000000000001</v>
      </c>
    </row>
    <row r="13" spans="1:55" ht="12.75" x14ac:dyDescent="0.35">
      <c r="B13" t="str">
        <f ca="1"/>
        <v>YK943560 Corp</v>
      </c>
      <c r="C13" t="str">
        <f ca="1"/>
        <v>Toyota Finance Corp</v>
      </c>
      <c r="D13" t="str">
        <f ca="1"/>
        <v>TOYOTA</v>
      </c>
      <c r="E13" t="str">
        <f ca="1"/>
        <v>JP</v>
      </c>
      <c r="F13" t="str">
        <f ca="1"/>
        <v>JPY</v>
      </c>
      <c r="G13" t="str">
        <f ca="1"/>
        <v>15/10/2032</v>
      </c>
      <c r="H13" t="str">
        <f ca="1"/>
        <v>FIXED</v>
      </c>
      <c r="I13">
        <f ca="1"/>
        <v>2</v>
      </c>
      <c r="J13">
        <f ca="1"/>
        <v>1.708</v>
      </c>
      <c r="K13">
        <f ca="1"/>
        <v>2.1469999999999998</v>
      </c>
      <c r="L13">
        <f ca="1"/>
        <v>2.1469999999999998</v>
      </c>
      <c r="M13">
        <f ca="1"/>
        <v>97.463999999999999</v>
      </c>
      <c r="N13">
        <f ca="1"/>
        <v>97.463999999999999</v>
      </c>
      <c r="O13" t="str">
        <f ca="1"/>
        <v>YK9435602</v>
      </c>
      <c r="P13" t="str">
        <f ca="1"/>
        <v>JP363360BRA5</v>
      </c>
      <c r="Q13" t="str">
        <f ca="1"/>
        <v>A+</v>
      </c>
      <c r="R13" s="3" t="str">
        <f ca="1"/>
        <v>10/10/2025</v>
      </c>
      <c r="S13" t="str">
        <f ca="1"/>
        <v>17/04/2026</v>
      </c>
      <c r="T13">
        <f ca="1"/>
        <v>6.5462012320328542</v>
      </c>
      <c r="U13" s="4">
        <f ca="1"/>
        <v>97.463999999999999</v>
      </c>
      <c r="V13">
        <f ca="1"/>
        <v>22</v>
      </c>
      <c r="W13">
        <f ca="1"/>
        <v>6.5</v>
      </c>
      <c r="X13" s="4">
        <f ca="1"/>
        <v>1</v>
      </c>
      <c r="Y13" s="4">
        <f ca="1"/>
        <v>1.539076923076923</v>
      </c>
      <c r="Z13" s="4">
        <f ca="1"/>
        <v>95.924923076923079</v>
      </c>
      <c r="AA13" s="4">
        <f ca="1"/>
        <v>2.1469999999999998</v>
      </c>
      <c r="AB13" s="4"/>
      <c r="AD13" t="str">
        <f ca="1"/>
        <v>YK943560 Corp</v>
      </c>
      <c r="AE13" t="str">
        <f ca="1"/>
        <v>Toyota Finance Corp</v>
      </c>
      <c r="AF13" t="str">
        <f ca="1"/>
        <v>TOYOTA</v>
      </c>
      <c r="AG13" t="str">
        <f ca="1"/>
        <v>JP</v>
      </c>
      <c r="AH13" t="str">
        <f ca="1"/>
        <v>JPY</v>
      </c>
      <c r="AI13" t="str">
        <f ca="1"/>
        <v>15/10/2032</v>
      </c>
      <c r="AJ13" t="str">
        <f ca="1"/>
        <v>FIXED</v>
      </c>
      <c r="AK13">
        <f ca="1"/>
        <v>2</v>
      </c>
      <c r="AL13">
        <f ca="1"/>
        <v>1.708</v>
      </c>
      <c r="AM13">
        <f ca="1"/>
        <v>2.1469999999999998</v>
      </c>
      <c r="AN13">
        <f ca="1"/>
        <v>2.1469999999999998</v>
      </c>
      <c r="AO13">
        <f ca="1"/>
        <v>97.463999999999999</v>
      </c>
      <c r="AP13">
        <f ca="1"/>
        <v>97.463999999999999</v>
      </c>
      <c r="AQ13" t="str">
        <f ca="1"/>
        <v>YK9435602</v>
      </c>
      <c r="AR13" t="str">
        <f ca="1"/>
        <v>JP363360BRA5</v>
      </c>
      <c r="AS13" t="str">
        <f ca="1"/>
        <v>A+</v>
      </c>
      <c r="AT13" t="str">
        <f ca="1"/>
        <v>10/10/2025</v>
      </c>
      <c r="AU13" t="str">
        <f ca="1"/>
        <v>17/04/2026</v>
      </c>
      <c r="AV13">
        <f ca="1"/>
        <v>6.5462012320328542</v>
      </c>
      <c r="AW13">
        <f ca="1"/>
        <v>97.463999999999999</v>
      </c>
      <c r="AX13">
        <f ca="1"/>
        <v>22</v>
      </c>
      <c r="AY13">
        <f ca="1"/>
        <v>6.5</v>
      </c>
      <c r="AZ13">
        <f ca="1"/>
        <v>1</v>
      </c>
      <c r="BA13">
        <f ca="1"/>
        <v>1.539076923076923</v>
      </c>
      <c r="BB13">
        <f ca="1"/>
        <v>95.924923076923079</v>
      </c>
      <c r="BC13">
        <f ca="1"/>
        <v>2.1469999999999998</v>
      </c>
    </row>
    <row r="14" spans="1:55" ht="12.75" x14ac:dyDescent="0.35">
      <c r="B14" t="str">
        <f ca="1"/>
        <v>YL396238 Corp</v>
      </c>
      <c r="C14" t="str">
        <f ca="1"/>
        <v>Toyota Motor Corp</v>
      </c>
      <c r="D14" t="str">
        <f ca="1"/>
        <v>TOYOTA</v>
      </c>
      <c r="E14" t="str">
        <f ca="1"/>
        <v>JP</v>
      </c>
      <c r="F14" t="str">
        <f ca="1"/>
        <v>JPY</v>
      </c>
      <c r="G14" t="str">
        <f ca="1"/>
        <v>04/09/2035</v>
      </c>
      <c r="H14" t="str">
        <f ca="1"/>
        <v>FIXED</v>
      </c>
      <c r="I14">
        <f ca="1"/>
        <v>2</v>
      </c>
      <c r="J14">
        <f ca="1"/>
        <v>1.7929999999999999</v>
      </c>
      <c r="K14">
        <f ca="1"/>
        <v>2.5070000000000001</v>
      </c>
      <c r="L14">
        <f ca="1"/>
        <v>2.5070000000000001</v>
      </c>
      <c r="M14">
        <f ca="1"/>
        <v>94.531000000000006</v>
      </c>
      <c r="N14">
        <f ca="1"/>
        <v>94.531000000000006</v>
      </c>
      <c r="O14" t="str">
        <f ca="1"/>
        <v>YL3962385</v>
      </c>
      <c r="P14" t="str">
        <f ca="1"/>
        <v>JP363340AR99</v>
      </c>
      <c r="Q14" t="str">
        <f ca="1"/>
        <v>A+</v>
      </c>
      <c r="R14" s="3" t="str">
        <f ca="1"/>
        <v>29/08/2025</v>
      </c>
      <c r="S14" t="str">
        <f ca="1"/>
        <v>04/09/2026</v>
      </c>
      <c r="T14">
        <f ca="1"/>
        <v>9.4318959616700884</v>
      </c>
      <c r="U14" s="4">
        <f ca="1"/>
        <v>94.531000000000006</v>
      </c>
      <c r="V14">
        <f ca="1"/>
        <v>1</v>
      </c>
      <c r="W14">
        <f ca="1"/>
        <v>9</v>
      </c>
      <c r="X14" s="4">
        <f ca="1"/>
        <v>1</v>
      </c>
      <c r="Y14" s="4">
        <f ca="1"/>
        <v>0.25614285714285712</v>
      </c>
      <c r="Z14" s="4">
        <f ca="1"/>
        <v>94.274857142857144</v>
      </c>
      <c r="AA14" s="4">
        <f ca="1"/>
        <v>2.5070000000000001</v>
      </c>
      <c r="AB14" s="4"/>
      <c r="AD14" t="str">
        <f ca="1"/>
        <v>YL396238 Corp</v>
      </c>
      <c r="AE14" t="str">
        <f ca="1"/>
        <v>Toyota Motor Corp</v>
      </c>
      <c r="AF14" t="str">
        <f ca="1"/>
        <v>TOYOTA</v>
      </c>
      <c r="AG14" t="str">
        <f ca="1"/>
        <v>JP</v>
      </c>
      <c r="AH14" t="str">
        <f ca="1"/>
        <v>JPY</v>
      </c>
      <c r="AI14" t="str">
        <f ca="1"/>
        <v>04/09/2035</v>
      </c>
      <c r="AJ14" t="str">
        <f ca="1"/>
        <v>FIXED</v>
      </c>
      <c r="AK14">
        <f ca="1"/>
        <v>2</v>
      </c>
      <c r="AL14">
        <f ca="1"/>
        <v>1.7929999999999999</v>
      </c>
      <c r="AM14">
        <f ca="1"/>
        <v>2.5070000000000001</v>
      </c>
      <c r="AN14">
        <f ca="1"/>
        <v>2.5070000000000001</v>
      </c>
      <c r="AO14">
        <f ca="1"/>
        <v>94.531000000000006</v>
      </c>
      <c r="AP14">
        <f ca="1"/>
        <v>94.531000000000006</v>
      </c>
      <c r="AQ14" t="str">
        <f ca="1"/>
        <v>YL3962385</v>
      </c>
      <c r="AR14" t="str">
        <f ca="1"/>
        <v>JP363340AR99</v>
      </c>
      <c r="AS14" t="str">
        <f ca="1"/>
        <v>A+</v>
      </c>
      <c r="AT14" t="str">
        <f ca="1"/>
        <v>29/08/2025</v>
      </c>
      <c r="AU14" t="str">
        <f ca="1"/>
        <v>04/09/2026</v>
      </c>
      <c r="AV14">
        <f ca="1"/>
        <v>9.4318959616700884</v>
      </c>
      <c r="AW14">
        <f ca="1"/>
        <v>94.531000000000006</v>
      </c>
      <c r="AX14">
        <f ca="1"/>
        <v>1</v>
      </c>
      <c r="AY14">
        <f ca="1"/>
        <v>9</v>
      </c>
      <c r="AZ14">
        <f ca="1"/>
        <v>1</v>
      </c>
      <c r="BA14">
        <f ca="1"/>
        <v>0.25614285714285712</v>
      </c>
      <c r="BB14">
        <f ca="1"/>
        <v>94.274857142857144</v>
      </c>
      <c r="BC14">
        <f ca="1"/>
        <v>2.5070000000000001</v>
      </c>
    </row>
    <row r="15" spans="1:55" ht="12.75" x14ac:dyDescent="0.35">
      <c r="T15"/>
      <c r="X15" s="4"/>
      <c r="Y15" s="4"/>
      <c r="Z15" s="4"/>
      <c r="AA15" s="4"/>
      <c r="AB15" s="4"/>
    </row>
    <row r="16" spans="1:55" ht="12.75" x14ac:dyDescent="0.35">
      <c r="T16"/>
      <c r="X16" s="4"/>
      <c r="Y16" s="4"/>
      <c r="Z16" s="4"/>
      <c r="AA16" s="4"/>
      <c r="AB16" s="4"/>
    </row>
    <row r="17" spans="20:28" ht="12.75" x14ac:dyDescent="0.35">
      <c r="T17"/>
      <c r="X17" s="4"/>
      <c r="Y17" s="4"/>
      <c r="Z17" s="4"/>
      <c r="AA17" s="4"/>
      <c r="AB17" s="4"/>
    </row>
    <row r="18" spans="20:28" ht="12.75" x14ac:dyDescent="0.35">
      <c r="T18"/>
      <c r="X18" s="4"/>
      <c r="Y18" s="4"/>
      <c r="Z18" s="4"/>
      <c r="AA18" s="4"/>
      <c r="AB18" s="4"/>
    </row>
    <row r="19" spans="20:28" ht="12.75" x14ac:dyDescent="0.35">
      <c r="T19"/>
      <c r="X19" s="4"/>
      <c r="Y19" s="4"/>
      <c r="Z19" s="4"/>
      <c r="AA19" s="4"/>
      <c r="AB19" s="4"/>
    </row>
    <row r="20" spans="20:28" ht="12.75" x14ac:dyDescent="0.35">
      <c r="T20"/>
      <c r="X20" s="4"/>
      <c r="Y20" s="4"/>
      <c r="Z20" s="4"/>
      <c r="AA20" s="4"/>
      <c r="AB20" s="4"/>
    </row>
    <row r="21" spans="20:28" ht="12.75" x14ac:dyDescent="0.35">
      <c r="T21"/>
      <c r="X21" s="4"/>
      <c r="Y21" s="4"/>
      <c r="Z21" s="4"/>
      <c r="AA21" s="4"/>
      <c r="AB21" s="4"/>
    </row>
    <row r="22" spans="20:28" ht="12.75" x14ac:dyDescent="0.35">
      <c r="T22"/>
      <c r="X22" s="4"/>
      <c r="Y22" s="4"/>
      <c r="Z22" s="4"/>
      <c r="AA22" s="4"/>
      <c r="AB22" s="4"/>
    </row>
    <row r="23" spans="20:28" ht="12.75" x14ac:dyDescent="0.35">
      <c r="T23"/>
      <c r="X23" s="4"/>
      <c r="Y23" s="4"/>
      <c r="Z23" s="4"/>
      <c r="AA23" s="4"/>
      <c r="AB23" s="4"/>
    </row>
    <row r="24" spans="20:28" ht="12.75" x14ac:dyDescent="0.35">
      <c r="T24"/>
      <c r="X24" s="4"/>
      <c r="Y24" s="4"/>
      <c r="Z24" s="4"/>
      <c r="AA24" s="4"/>
      <c r="AB24" s="4"/>
    </row>
    <row r="25" spans="20:28" ht="12.75" x14ac:dyDescent="0.35">
      <c r="T25"/>
      <c r="X25" s="4"/>
      <c r="Y25" s="4"/>
      <c r="Z25" s="4"/>
      <c r="AA25" s="4"/>
      <c r="AB25" s="4"/>
    </row>
    <row r="26" spans="20:28" ht="12.75" x14ac:dyDescent="0.35">
      <c r="T26"/>
      <c r="X26" s="4"/>
      <c r="Y26" s="4"/>
      <c r="Z26" s="4"/>
      <c r="AA26" s="4"/>
      <c r="AB26" s="4"/>
    </row>
    <row r="27" spans="20:28" ht="12.75" x14ac:dyDescent="0.35">
      <c r="T27"/>
      <c r="X27" s="4"/>
      <c r="Y27" s="4"/>
      <c r="Z27" s="4"/>
      <c r="AA27" s="4"/>
      <c r="AB27" s="4"/>
    </row>
    <row r="28" spans="20:28" ht="12.75" x14ac:dyDescent="0.35">
      <c r="T28"/>
      <c r="X28" s="4"/>
      <c r="Y28" s="4"/>
      <c r="Z28" s="4"/>
      <c r="AA28" s="4"/>
      <c r="AB28" s="4"/>
    </row>
    <row r="29" spans="20:28" ht="12.75" x14ac:dyDescent="0.35">
      <c r="T29"/>
      <c r="X29" s="4"/>
      <c r="Y29" s="4"/>
      <c r="Z29" s="4"/>
      <c r="AA29" s="4"/>
      <c r="AB29" s="4"/>
    </row>
    <row r="30" spans="20:28" ht="12.75" x14ac:dyDescent="0.35">
      <c r="T30"/>
      <c r="X30" s="4"/>
      <c r="Y30" s="4"/>
      <c r="Z30" s="4"/>
      <c r="AA30" s="4"/>
      <c r="AB30" s="4"/>
    </row>
    <row r="31" spans="20:28" ht="12.75" x14ac:dyDescent="0.35">
      <c r="T31"/>
      <c r="X31" s="4"/>
      <c r="Y31" s="4"/>
      <c r="Z31" s="4"/>
      <c r="AA31" s="4"/>
      <c r="AB31" s="4"/>
    </row>
    <row r="32" spans="20:28" ht="12.75" x14ac:dyDescent="0.35">
      <c r="T32"/>
      <c r="X32" s="4"/>
      <c r="Y32" s="4"/>
      <c r="Z32" s="4"/>
      <c r="AA32" s="4"/>
      <c r="AB32" s="4"/>
    </row>
    <row r="33" spans="20:28" ht="12.75" x14ac:dyDescent="0.35">
      <c r="T33"/>
      <c r="X33" s="4"/>
      <c r="Y33" s="4"/>
      <c r="Z33" s="4"/>
      <c r="AA33" s="4"/>
      <c r="AB33" s="4"/>
    </row>
    <row r="34" spans="20:28" ht="12.75" x14ac:dyDescent="0.35">
      <c r="T34"/>
      <c r="X34" s="4"/>
      <c r="Y34" s="4"/>
      <c r="Z34" s="4"/>
      <c r="AA34" s="4"/>
      <c r="AB34" s="4"/>
    </row>
    <row r="35" spans="20:28" ht="12.75" x14ac:dyDescent="0.35">
      <c r="T35"/>
      <c r="X35" s="4"/>
      <c r="Y35" s="4"/>
      <c r="Z35" s="4"/>
      <c r="AA35" s="4"/>
      <c r="AB35" s="4"/>
    </row>
    <row r="36" spans="20:28" ht="12.75" x14ac:dyDescent="0.35">
      <c r="T36"/>
      <c r="X36" s="4"/>
      <c r="Y36" s="4"/>
      <c r="Z36" s="4"/>
      <c r="AA36" s="4"/>
      <c r="AB36" s="4"/>
    </row>
    <row r="37" spans="20:28" ht="12.75" x14ac:dyDescent="0.35">
      <c r="T37"/>
      <c r="X37" s="4"/>
      <c r="Y37" s="4"/>
      <c r="Z37" s="4"/>
      <c r="AA37" s="4"/>
      <c r="AB37" s="4"/>
    </row>
    <row r="38" spans="20:28" ht="12.75" x14ac:dyDescent="0.35">
      <c r="T38"/>
      <c r="X38" s="4"/>
      <c r="Y38" s="4"/>
      <c r="Z38" s="4"/>
      <c r="AA38" s="4"/>
      <c r="AB38" s="4"/>
    </row>
    <row r="39" spans="20:28" ht="12.75" x14ac:dyDescent="0.35">
      <c r="T39"/>
      <c r="X39" s="4"/>
      <c r="Y39" s="4"/>
      <c r="Z39" s="4"/>
      <c r="AA39" s="4"/>
      <c r="AB39" s="4"/>
    </row>
    <row r="40" spans="20:28" ht="12.75" x14ac:dyDescent="0.35">
      <c r="T40"/>
      <c r="X40" s="4"/>
      <c r="Y40" s="4"/>
      <c r="Z40" s="4"/>
      <c r="AA40" s="4"/>
      <c r="AB40" s="4"/>
    </row>
    <row r="41" spans="20:28" ht="12.75" x14ac:dyDescent="0.35">
      <c r="T41"/>
      <c r="X41" s="4"/>
      <c r="Y41" s="4"/>
      <c r="Z41" s="4"/>
      <c r="AA41" s="4"/>
      <c r="AB41" s="4"/>
    </row>
    <row r="42" spans="20:28" ht="12.75" x14ac:dyDescent="0.35">
      <c r="T42"/>
      <c r="X42" s="4"/>
      <c r="Y42" s="4"/>
      <c r="Z42" s="4"/>
      <c r="AA42" s="4"/>
      <c r="AB42" s="4"/>
    </row>
    <row r="43" spans="20:28" ht="12.75" x14ac:dyDescent="0.35">
      <c r="T43"/>
      <c r="X43" s="4"/>
      <c r="Y43" s="4"/>
      <c r="Z43" s="4"/>
      <c r="AA43" s="4"/>
      <c r="AB43" s="4"/>
    </row>
    <row r="44" spans="20:28" ht="12.75" x14ac:dyDescent="0.35">
      <c r="T44"/>
      <c r="X44" s="4"/>
      <c r="Y44" s="4"/>
      <c r="Z44" s="4"/>
      <c r="AA44" s="4"/>
      <c r="AB44" s="4"/>
    </row>
    <row r="45" spans="20:28" ht="12.75" x14ac:dyDescent="0.35">
      <c r="T45"/>
      <c r="X45" s="4"/>
      <c r="Y45" s="4"/>
      <c r="Z45" s="4"/>
      <c r="AA45" s="4"/>
      <c r="AB45" s="4"/>
    </row>
    <row r="46" spans="20:28" ht="12.75" x14ac:dyDescent="0.35">
      <c r="T46"/>
      <c r="X46" s="4"/>
      <c r="Y46" s="4"/>
      <c r="Z46" s="4"/>
      <c r="AA46" s="4"/>
      <c r="AB46" s="4"/>
    </row>
    <row r="47" spans="20:28" ht="12.75" x14ac:dyDescent="0.35">
      <c r="T47"/>
      <c r="X47" s="4"/>
      <c r="Y47" s="4"/>
      <c r="Z47" s="4"/>
      <c r="AA47" s="4"/>
      <c r="AB47" s="4"/>
    </row>
    <row r="48" spans="20:28" ht="12.75" x14ac:dyDescent="0.35">
      <c r="T48"/>
      <c r="X48" s="4"/>
      <c r="Y48" s="4"/>
      <c r="Z48" s="4"/>
      <c r="AA48" s="4"/>
      <c r="AB48" s="4"/>
    </row>
    <row r="49" spans="20:28" ht="12.75" x14ac:dyDescent="0.35">
      <c r="T49"/>
      <c r="X49" s="4"/>
      <c r="Y49" s="4"/>
      <c r="Z49" s="4"/>
      <c r="AA49" s="4"/>
      <c r="AB49" s="4"/>
    </row>
    <row r="50" spans="20:28" ht="12.75" x14ac:dyDescent="0.35">
      <c r="T50"/>
      <c r="X50" s="4"/>
      <c r="Y50" s="4"/>
      <c r="Z50" s="4"/>
      <c r="AA50" s="4"/>
      <c r="AB50" s="4"/>
    </row>
    <row r="51" spans="20:28" ht="12.75" x14ac:dyDescent="0.35">
      <c r="T51"/>
      <c r="X51" s="4"/>
      <c r="Y51" s="4"/>
      <c r="Z51" s="4"/>
      <c r="AA51" s="4"/>
      <c r="AB51" s="4"/>
    </row>
    <row r="52" spans="20:28" ht="12.75" x14ac:dyDescent="0.35">
      <c r="T52"/>
      <c r="X52" s="4"/>
      <c r="Y52" s="4"/>
      <c r="Z52" s="4"/>
      <c r="AA52" s="4"/>
      <c r="AB52" s="4"/>
    </row>
    <row r="53" spans="20:28" ht="12.75" x14ac:dyDescent="0.35">
      <c r="T53"/>
      <c r="X53" s="4"/>
      <c r="Y53" s="4"/>
      <c r="Z53" s="4"/>
      <c r="AA53" s="4"/>
      <c r="AB53" s="4"/>
    </row>
    <row r="54" spans="20:28" ht="12.75" x14ac:dyDescent="0.35">
      <c r="T54"/>
      <c r="X54" s="4"/>
      <c r="Y54" s="4"/>
      <c r="Z54" s="4"/>
      <c r="AA54" s="4"/>
      <c r="AB54" s="4"/>
    </row>
    <row r="55" spans="20:28" ht="12.75" x14ac:dyDescent="0.35">
      <c r="T55"/>
      <c r="X55" s="4"/>
      <c r="Y55" s="4"/>
      <c r="Z55" s="4"/>
      <c r="AA55" s="4"/>
      <c r="AB55" s="4"/>
    </row>
    <row r="56" spans="20:28" ht="12.75" x14ac:dyDescent="0.35">
      <c r="T56"/>
      <c r="X56" s="4"/>
      <c r="Y56" s="4"/>
      <c r="Z56" s="4"/>
      <c r="AA56" s="4"/>
      <c r="AB56" s="4"/>
    </row>
    <row r="57" spans="20:28" ht="12.75" x14ac:dyDescent="0.35">
      <c r="T57"/>
      <c r="X57" s="4"/>
      <c r="Y57" s="4"/>
      <c r="Z57" s="4"/>
      <c r="AA57" s="4"/>
      <c r="AB57" s="4"/>
    </row>
    <row r="58" spans="20:28" ht="12.75" x14ac:dyDescent="0.35">
      <c r="T58"/>
      <c r="X58" s="4"/>
      <c r="Y58" s="4"/>
      <c r="Z58" s="4"/>
      <c r="AA58" s="4"/>
      <c r="AB58" s="4"/>
    </row>
    <row r="59" spans="20:28" ht="12.75" x14ac:dyDescent="0.35">
      <c r="T59"/>
      <c r="X59" s="4"/>
      <c r="Y59" s="4"/>
      <c r="Z59" s="4"/>
      <c r="AA59" s="4"/>
      <c r="AB59" s="4"/>
    </row>
    <row r="60" spans="20:28" ht="12.75" x14ac:dyDescent="0.35">
      <c r="T60"/>
      <c r="X60" s="4"/>
      <c r="Y60" s="4"/>
      <c r="Z60" s="4"/>
      <c r="AA60" s="4"/>
      <c r="AB60" s="4"/>
    </row>
    <row r="61" spans="20:28" ht="12.75" x14ac:dyDescent="0.35">
      <c r="T61"/>
      <c r="X61" s="4"/>
      <c r="Y61" s="4"/>
      <c r="Z61" s="4"/>
      <c r="AA61" s="4"/>
      <c r="AB61" s="4"/>
    </row>
    <row r="62" spans="20:28" ht="12.75" x14ac:dyDescent="0.35">
      <c r="T62"/>
      <c r="X62" s="4"/>
      <c r="Y62" s="4"/>
      <c r="Z62" s="4"/>
      <c r="AA62" s="4"/>
      <c r="AB62" s="4"/>
    </row>
    <row r="63" spans="20:28" ht="12.75" x14ac:dyDescent="0.35">
      <c r="T63"/>
      <c r="X63" s="4"/>
      <c r="Y63" s="4"/>
      <c r="Z63" s="4"/>
      <c r="AA63" s="4"/>
      <c r="AB63" s="4"/>
    </row>
    <row r="64" spans="20:28" ht="12.75" x14ac:dyDescent="0.35">
      <c r="T64"/>
      <c r="X64" s="4"/>
      <c r="Y64" s="4"/>
      <c r="Z64" s="4"/>
      <c r="AA64" s="4"/>
      <c r="AB64" s="4"/>
    </row>
    <row r="65" spans="20:28" ht="12.75" x14ac:dyDescent="0.35">
      <c r="T65"/>
      <c r="X65" s="4"/>
      <c r="Y65" s="4"/>
      <c r="Z65" s="4"/>
      <c r="AA65" s="4"/>
      <c r="AB65" s="4"/>
    </row>
    <row r="66" spans="20:28" x14ac:dyDescent="0.4">
      <c r="W66" s="4"/>
    </row>
    <row r="67" spans="20:28" x14ac:dyDescent="0.4">
      <c r="W67" s="4"/>
    </row>
    <row r="68" spans="20:28" x14ac:dyDescent="0.4">
      <c r="W68" s="4"/>
    </row>
    <row r="69" spans="20:28" x14ac:dyDescent="0.4">
      <c r="W69" s="4"/>
    </row>
    <row r="70" spans="20:28" x14ac:dyDescent="0.4">
      <c r="W70" s="4"/>
    </row>
    <row r="71" spans="20:28" x14ac:dyDescent="0.4">
      <c r="W71" s="4"/>
    </row>
    <row r="72" spans="20:28" x14ac:dyDescent="0.4">
      <c r="W72" s="4"/>
    </row>
    <row r="73" spans="20:28" x14ac:dyDescent="0.4">
      <c r="W73" s="4"/>
    </row>
    <row r="74" spans="20:28" x14ac:dyDescent="0.4">
      <c r="W74" s="4"/>
    </row>
    <row r="75" spans="20:28" x14ac:dyDescent="0.4">
      <c r="W75" s="4"/>
    </row>
  </sheetData>
  <conditionalFormatting sqref="J1:J10485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6:J70">
    <cfRule type="cellIs" dxfId="5" priority="2" operator="greaterThan">
      <formula>1</formula>
    </cfRule>
  </conditionalFormatting>
  <conditionalFormatting sqref="R1:R1048576">
    <cfRule type="colorScale" priority="1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391DB-3107-4B44-942D-05CE11B2375F}">
  <dimension ref="A1:EE503"/>
  <sheetViews>
    <sheetView tabSelected="1" zoomScale="43" zoomScaleNormal="88" workbookViewId="0">
      <selection activeCell="M23" sqref="M23"/>
    </sheetView>
  </sheetViews>
  <sheetFormatPr defaultColWidth="5.73046875" defaultRowHeight="14.25" x14ac:dyDescent="0.45"/>
  <cols>
    <col min="1" max="1" width="7.265625" style="45" bestFit="1" customWidth="1"/>
    <col min="2" max="2" width="15.3984375" style="9" bestFit="1" customWidth="1"/>
    <col min="3" max="3" width="16.265625" style="8" bestFit="1" customWidth="1"/>
    <col min="4" max="4" width="16.1328125" style="9" bestFit="1" customWidth="1"/>
    <col min="5" max="5" width="17" style="9" bestFit="1" customWidth="1"/>
    <col min="6" max="6" width="9.265625" style="17" bestFit="1" customWidth="1"/>
    <col min="7" max="7" width="10" style="8" bestFit="1" customWidth="1"/>
    <col min="8" max="8" width="10.59765625" style="8" bestFit="1" customWidth="1"/>
    <col min="9" max="9" width="11" style="8" bestFit="1" customWidth="1"/>
    <col min="10" max="10" width="9.265625" style="8" bestFit="1" customWidth="1"/>
    <col min="11" max="11" width="7.86328125" style="8" bestFit="1" customWidth="1"/>
    <col min="12" max="12" width="13" style="8" customWidth="1"/>
    <col min="13" max="20" width="6.73046875" style="8" customWidth="1"/>
    <col min="21" max="31" width="9.265625" style="8" bestFit="1" customWidth="1"/>
    <col min="32" max="42" width="6.86328125" style="8" bestFit="1" customWidth="1"/>
    <col min="43" max="43" width="7.73046875" style="8" bestFit="1" customWidth="1"/>
    <col min="44" max="90" width="7.59765625" style="8" customWidth="1"/>
    <col min="91" max="91" width="5.73046875" style="8"/>
    <col min="92" max="92" width="16.3984375" style="8" bestFit="1" customWidth="1"/>
    <col min="93" max="93" width="13.265625" style="16" bestFit="1" customWidth="1"/>
    <col min="94" max="94" width="10.59765625" style="16" bestFit="1" customWidth="1"/>
    <col min="95" max="95" width="9.73046875" style="16" bestFit="1" customWidth="1"/>
    <col min="96" max="96" width="12.1328125" style="16" bestFit="1" customWidth="1"/>
    <col min="97" max="97" width="10.59765625" style="16" bestFit="1" customWidth="1"/>
    <col min="98" max="16384" width="5.73046875" style="8"/>
  </cols>
  <sheetData>
    <row r="1" spans="1:135" ht="14.65" thickBot="1" x14ac:dyDescent="0.5">
      <c r="A1" s="59" t="s">
        <v>215</v>
      </c>
      <c r="B1" s="59"/>
      <c r="C1" s="60" t="s">
        <v>216</v>
      </c>
      <c r="D1" s="60"/>
      <c r="E1" s="65" t="str">
        <f ca="1">IF(COUNT(H:H)&gt;=COUNT(INDIRECT("'"&amp;A1&amp;"'!W:W")),"YAY ENOUGH ROWS","NEEDS MORE ROWS")</f>
        <v>YAY ENOUGH ROWS</v>
      </c>
      <c r="F1" s="65"/>
      <c r="H1" s="9"/>
      <c r="I1" s="9"/>
      <c r="J1" s="9"/>
      <c r="K1" s="61" t="s">
        <v>217</v>
      </c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62"/>
      <c r="BK1" s="62"/>
      <c r="BL1" s="62"/>
      <c r="BM1" s="62"/>
      <c r="BN1" s="62"/>
      <c r="BO1" s="62"/>
      <c r="BP1" s="62"/>
      <c r="BQ1" s="62"/>
      <c r="BR1" s="62"/>
      <c r="BS1" s="62"/>
      <c r="BT1" s="62"/>
      <c r="BU1" s="62"/>
      <c r="BV1" s="62"/>
      <c r="BW1" s="62"/>
      <c r="BX1" s="62"/>
      <c r="BY1" s="62"/>
      <c r="BZ1" s="62"/>
      <c r="CA1" s="62"/>
      <c r="CB1" s="62"/>
      <c r="CC1" s="62"/>
      <c r="CD1" s="62"/>
      <c r="CE1" s="62"/>
      <c r="CF1" s="62"/>
      <c r="CG1" s="62"/>
      <c r="CH1" s="62"/>
      <c r="CI1" s="62"/>
      <c r="CJ1" s="62"/>
      <c r="CK1" s="62"/>
      <c r="CL1" s="10"/>
      <c r="CN1" s="63" t="s">
        <v>218</v>
      </c>
      <c r="CO1" s="63"/>
      <c r="CP1" s="63"/>
      <c r="CQ1" s="63"/>
      <c r="CR1" s="63"/>
      <c r="CS1" s="63"/>
      <c r="EC1" s="55" t="s">
        <v>62</v>
      </c>
      <c r="ED1" s="55" t="s">
        <v>219</v>
      </c>
      <c r="EE1" s="55" t="s">
        <v>220</v>
      </c>
    </row>
    <row r="2" spans="1:135" x14ac:dyDescent="0.45">
      <c r="A2" s="46" t="s">
        <v>5</v>
      </c>
      <c r="B2" s="48" t="s">
        <v>8</v>
      </c>
      <c r="C2" s="12" t="s">
        <v>221</v>
      </c>
      <c r="D2" s="13" t="s">
        <v>222</v>
      </c>
      <c r="E2" s="11" t="s">
        <v>223</v>
      </c>
      <c r="F2" s="14" t="s">
        <v>224</v>
      </c>
      <c r="G2" s="8" t="s">
        <v>225</v>
      </c>
      <c r="H2" s="8" t="s">
        <v>226</v>
      </c>
      <c r="I2" s="8" t="s">
        <v>227</v>
      </c>
      <c r="J2" s="15" t="s">
        <v>228</v>
      </c>
      <c r="K2" s="25" cm="1">
        <f t="array" ref="K2:CK2">_xlfn.SEQUENCE(1,79,0,0.5)</f>
        <v>0</v>
      </c>
      <c r="L2" s="26">
        <v>0.5</v>
      </c>
      <c r="M2" s="26">
        <v>1</v>
      </c>
      <c r="N2" s="26">
        <v>1.5</v>
      </c>
      <c r="O2" s="26">
        <v>2</v>
      </c>
      <c r="P2" s="26">
        <v>2.5</v>
      </c>
      <c r="Q2" s="26">
        <v>3</v>
      </c>
      <c r="R2" s="26">
        <v>3.5</v>
      </c>
      <c r="S2" s="26">
        <v>4</v>
      </c>
      <c r="T2" s="26">
        <v>4.5</v>
      </c>
      <c r="U2" s="26">
        <v>5</v>
      </c>
      <c r="V2" s="26">
        <v>5.5</v>
      </c>
      <c r="W2" s="26">
        <v>6</v>
      </c>
      <c r="X2" s="26">
        <v>6.5</v>
      </c>
      <c r="Y2" s="26">
        <v>7</v>
      </c>
      <c r="Z2" s="26">
        <v>7.5</v>
      </c>
      <c r="AA2" s="26">
        <v>8</v>
      </c>
      <c r="AB2" s="26">
        <v>8.5</v>
      </c>
      <c r="AC2" s="26">
        <v>9</v>
      </c>
      <c r="AD2" s="26">
        <v>9.5</v>
      </c>
      <c r="AE2" s="26">
        <v>10</v>
      </c>
      <c r="AF2" s="26">
        <v>10.5</v>
      </c>
      <c r="AG2" s="26">
        <v>11</v>
      </c>
      <c r="AH2" s="26">
        <v>11.5</v>
      </c>
      <c r="AI2" s="26">
        <v>12</v>
      </c>
      <c r="AJ2" s="26">
        <v>12.5</v>
      </c>
      <c r="AK2" s="26">
        <v>13</v>
      </c>
      <c r="AL2" s="26">
        <v>13.5</v>
      </c>
      <c r="AM2" s="26">
        <v>14</v>
      </c>
      <c r="AN2" s="26">
        <v>14.5</v>
      </c>
      <c r="AO2" s="26">
        <v>15</v>
      </c>
      <c r="AP2" s="26">
        <v>15.5</v>
      </c>
      <c r="AQ2" s="26">
        <v>16</v>
      </c>
      <c r="AR2" s="26">
        <v>16.5</v>
      </c>
      <c r="AS2" s="26">
        <v>17</v>
      </c>
      <c r="AT2" s="26">
        <v>17.5</v>
      </c>
      <c r="AU2" s="26">
        <v>18</v>
      </c>
      <c r="AV2" s="26">
        <v>18.5</v>
      </c>
      <c r="AW2" s="26">
        <v>19</v>
      </c>
      <c r="AX2" s="26">
        <v>19.5</v>
      </c>
      <c r="AY2" s="26">
        <v>20</v>
      </c>
      <c r="AZ2" s="26">
        <v>20.5</v>
      </c>
      <c r="BA2" s="26">
        <v>21</v>
      </c>
      <c r="BB2" s="26">
        <v>21.5</v>
      </c>
      <c r="BC2" s="26">
        <v>22</v>
      </c>
      <c r="BD2" s="26">
        <v>22.5</v>
      </c>
      <c r="BE2" s="26">
        <v>23</v>
      </c>
      <c r="BF2" s="26">
        <v>23.5</v>
      </c>
      <c r="BG2" s="26">
        <v>24</v>
      </c>
      <c r="BH2" s="26">
        <v>24.5</v>
      </c>
      <c r="BI2" s="26">
        <v>25</v>
      </c>
      <c r="BJ2" s="26">
        <v>25.5</v>
      </c>
      <c r="BK2" s="26">
        <v>26</v>
      </c>
      <c r="BL2" s="26">
        <v>26.5</v>
      </c>
      <c r="BM2" s="26">
        <v>27</v>
      </c>
      <c r="BN2" s="26">
        <v>27.5</v>
      </c>
      <c r="BO2" s="26">
        <v>28</v>
      </c>
      <c r="BP2" s="26">
        <v>28.5</v>
      </c>
      <c r="BQ2" s="26">
        <v>29</v>
      </c>
      <c r="BR2" s="26">
        <v>29.5</v>
      </c>
      <c r="BS2" s="26">
        <v>30</v>
      </c>
      <c r="BT2" s="26">
        <v>30.5</v>
      </c>
      <c r="BU2" s="26">
        <v>31</v>
      </c>
      <c r="BV2" s="26">
        <v>31.5</v>
      </c>
      <c r="BW2" s="26">
        <v>32</v>
      </c>
      <c r="BX2" s="26">
        <v>32.5</v>
      </c>
      <c r="BY2" s="26">
        <v>33</v>
      </c>
      <c r="BZ2" s="26">
        <v>33.5</v>
      </c>
      <c r="CA2" s="26">
        <v>34</v>
      </c>
      <c r="CB2" s="26">
        <v>34.5</v>
      </c>
      <c r="CC2" s="26">
        <v>35</v>
      </c>
      <c r="CD2" s="26">
        <v>35.5</v>
      </c>
      <c r="CE2" s="26">
        <v>36</v>
      </c>
      <c r="CF2" s="26">
        <v>36.5</v>
      </c>
      <c r="CG2" s="26">
        <v>37</v>
      </c>
      <c r="CH2" s="26">
        <v>37.5</v>
      </c>
      <c r="CI2" s="26">
        <v>38</v>
      </c>
      <c r="CJ2" s="26">
        <v>38.5</v>
      </c>
      <c r="CK2" s="27">
        <v>39</v>
      </c>
      <c r="CN2" s="8" t="s">
        <v>229</v>
      </c>
      <c r="CO2" s="16" t="s">
        <v>230</v>
      </c>
      <c r="CP2" s="16" t="s">
        <v>231</v>
      </c>
      <c r="CQ2" s="16" t="s">
        <v>232</v>
      </c>
      <c r="CR2" s="16" t="s">
        <v>233</v>
      </c>
      <c r="CS2" s="16" t="s">
        <v>234</v>
      </c>
      <c r="EC2" s="8" cm="1">
        <f t="array" aca="1" ref="EC2:EC14" ca="1">OFFSET(INDIRECT(ADDRESS(1,27,,,A1)),1,,COUNT(INDIRECT("'"&amp;A1&amp;"'!U:U")))/100</f>
        <v>1.163E-2</v>
      </c>
      <c r="ED2" s="8" cm="1">
        <f t="array" aca="1" ref="ED2:ED14" ca="1">OFFSET(INDIRECT(ADDRESS(1,11,,,A1)),1,,COUNT(INDIRECT("'"&amp;A1&amp;"'!U:U")))/100</f>
        <v>1.163E-2</v>
      </c>
      <c r="EE2" s="8" cm="1">
        <f t="array" aca="1" ref="EE2:EE14" ca="1">OFFSET(INDIRECT(ADDRESS(1,12,,,A1)),1,,COUNT(INDIRECT("'"&amp;A1&amp;"'!U:U")))/100</f>
        <v>1.163E-2</v>
      </c>
    </row>
    <row r="3" spans="1:135" x14ac:dyDescent="0.45">
      <c r="A3" s="56" cm="1">
        <f t="array" aca="1" ref="A3:A15" ca="1">OFFSET(INDIRECT(ADDRESS(1,23,,,A1)),1,,COUNT(INDIRECT("'"&amp;A1&amp;"'!W:W")))</f>
        <v>0.5</v>
      </c>
      <c r="B3" s="57" cm="1">
        <f t="array" aca="1" ref="B3:B15" ca="1">OFFSET(INDIRECT(ADDRESS(1,10,,,A1)),1,,COUNT(INDIRECT("'"&amp;A1&amp;"'!J:J")))/100</f>
        <v>3.7000000000000002E-3</v>
      </c>
      <c r="C3" s="58" cm="1">
        <f t="array" aca="1" ref="C3:C15" ca="1">OFFSET(INDIRECT(ADDRESS(1,21,,,A1)),1,,COUNT(INDIRECT("'"&amp;A1&amp;"'!U:U")))</f>
        <v>99.537999999999997</v>
      </c>
      <c r="D3" s="17">
        <f t="shared" ref="D3:D42" ca="1" si="0">SUMPRODUCT(L3:CK3,$L$249:$CK$249)</f>
        <v>99.537994007267216</v>
      </c>
      <c r="E3" s="17">
        <f ca="1">+D3-C3</f>
        <v>-5.9927327811237774E-6</v>
      </c>
      <c r="F3" s="17">
        <f t="shared" ref="F3:F42" ca="1" si="1">ABS(C3-D3)</f>
        <v>5.9927327811237774E-6</v>
      </c>
      <c r="G3" s="18">
        <f ca="1">+IFERROR(IRR(K3:CK3,0),0)</f>
        <v>8.3586168096605462E-3</v>
      </c>
      <c r="H3" s="18">
        <f ca="1">IFERROR(IRR((J3,L3:CK3),0),0)</f>
        <v>8.3586775183759343E-3</v>
      </c>
      <c r="I3" s="52">
        <f t="shared" ref="I3:I34" ca="1" si="2">IFERROR(H3-G3,0)</f>
        <v>6.0708715388102519E-8</v>
      </c>
      <c r="J3" s="17">
        <f ca="1">-D3</f>
        <v>-99.537994007267216</v>
      </c>
      <c r="K3" s="28">
        <f t="shared" ref="K3:K42" ca="1" si="3">-C3</f>
        <v>-99.537999999999997</v>
      </c>
      <c r="L3" s="8">
        <f ca="1">$B3*100*(L$2&lt;$A3)+100*(1+$B3)*(L$2=$A3)</f>
        <v>100.37</v>
      </c>
      <c r="M3" s="8">
        <f t="shared" ref="M3:AB18" ca="1" si="4">$B3*100*(M$2&lt;$A3)+100*(1+$B3)*(M$2=$A3)</f>
        <v>0</v>
      </c>
      <c r="N3" s="8">
        <f t="shared" ca="1" si="4"/>
        <v>0</v>
      </c>
      <c r="O3" s="8">
        <f t="shared" ca="1" si="4"/>
        <v>0</v>
      </c>
      <c r="P3" s="8">
        <f t="shared" ca="1" si="4"/>
        <v>0</v>
      </c>
      <c r="Q3" s="8">
        <f t="shared" ca="1" si="4"/>
        <v>0</v>
      </c>
      <c r="R3" s="8">
        <f t="shared" ca="1" si="4"/>
        <v>0</v>
      </c>
      <c r="S3" s="8">
        <f t="shared" ca="1" si="4"/>
        <v>0</v>
      </c>
      <c r="T3" s="8">
        <f t="shared" ca="1" si="4"/>
        <v>0</v>
      </c>
      <c r="U3" s="8">
        <f t="shared" ca="1" si="4"/>
        <v>0</v>
      </c>
      <c r="V3" s="8">
        <f t="shared" ca="1" si="4"/>
        <v>0</v>
      </c>
      <c r="W3" s="8">
        <f t="shared" ca="1" si="4"/>
        <v>0</v>
      </c>
      <c r="X3" s="8">
        <f t="shared" ca="1" si="4"/>
        <v>0</v>
      </c>
      <c r="Y3" s="8">
        <f t="shared" ca="1" si="4"/>
        <v>0</v>
      </c>
      <c r="Z3" s="8">
        <f t="shared" ca="1" si="4"/>
        <v>0</v>
      </c>
      <c r="AA3" s="8">
        <f t="shared" ca="1" si="4"/>
        <v>0</v>
      </c>
      <c r="AB3" s="8">
        <f t="shared" ca="1" si="4"/>
        <v>0</v>
      </c>
      <c r="AC3" s="8">
        <f t="shared" ref="AC3:AR18" ca="1" si="5">$B3*100*(AC$2&lt;$A3)+100*(1+$B3)*(AC$2=$A3)</f>
        <v>0</v>
      </c>
      <c r="AD3" s="8">
        <f t="shared" ca="1" si="5"/>
        <v>0</v>
      </c>
      <c r="AE3" s="8">
        <f t="shared" ca="1" si="5"/>
        <v>0</v>
      </c>
      <c r="AF3" s="8">
        <f t="shared" ca="1" si="5"/>
        <v>0</v>
      </c>
      <c r="AG3" s="8">
        <f t="shared" ca="1" si="5"/>
        <v>0</v>
      </c>
      <c r="AH3" s="8">
        <f t="shared" ca="1" si="5"/>
        <v>0</v>
      </c>
      <c r="AI3" s="8">
        <f t="shared" ca="1" si="5"/>
        <v>0</v>
      </c>
      <c r="AJ3" s="8">
        <f t="shared" ca="1" si="5"/>
        <v>0</v>
      </c>
      <c r="AK3" s="8">
        <f t="shared" ca="1" si="5"/>
        <v>0</v>
      </c>
      <c r="AL3" s="8">
        <f t="shared" ca="1" si="5"/>
        <v>0</v>
      </c>
      <c r="AM3" s="8">
        <f t="shared" ca="1" si="5"/>
        <v>0</v>
      </c>
      <c r="AN3" s="8">
        <f t="shared" ca="1" si="5"/>
        <v>0</v>
      </c>
      <c r="AO3" s="8">
        <f t="shared" ca="1" si="5"/>
        <v>0</v>
      </c>
      <c r="AP3" s="8">
        <f t="shared" ca="1" si="5"/>
        <v>0</v>
      </c>
      <c r="AQ3" s="8">
        <f t="shared" ca="1" si="5"/>
        <v>0</v>
      </c>
      <c r="AR3" s="8">
        <f t="shared" ca="1" si="5"/>
        <v>0</v>
      </c>
      <c r="AS3" s="8">
        <f t="shared" ref="AS3:BH18" ca="1" si="6">$B3*100*(AS$2&lt;$A3)+100*(1+$B3)*(AS$2=$A3)</f>
        <v>0</v>
      </c>
      <c r="AT3" s="8">
        <f t="shared" ca="1" si="6"/>
        <v>0</v>
      </c>
      <c r="AU3" s="8">
        <f t="shared" ca="1" si="6"/>
        <v>0</v>
      </c>
      <c r="AV3" s="8">
        <f t="shared" ca="1" si="6"/>
        <v>0</v>
      </c>
      <c r="AW3" s="8">
        <f t="shared" ca="1" si="6"/>
        <v>0</v>
      </c>
      <c r="AX3" s="8">
        <f t="shared" ca="1" si="6"/>
        <v>0</v>
      </c>
      <c r="AY3" s="8">
        <f t="shared" ca="1" si="6"/>
        <v>0</v>
      </c>
      <c r="AZ3" s="8">
        <f t="shared" ca="1" si="6"/>
        <v>0</v>
      </c>
      <c r="BA3" s="8">
        <f t="shared" ca="1" si="6"/>
        <v>0</v>
      </c>
      <c r="BB3" s="8">
        <f t="shared" ca="1" si="6"/>
        <v>0</v>
      </c>
      <c r="BC3" s="8">
        <f t="shared" ca="1" si="6"/>
        <v>0</v>
      </c>
      <c r="BD3" s="8">
        <f t="shared" ca="1" si="6"/>
        <v>0</v>
      </c>
      <c r="BE3" s="8">
        <f t="shared" ca="1" si="6"/>
        <v>0</v>
      </c>
      <c r="BF3" s="8">
        <f t="shared" ca="1" si="6"/>
        <v>0</v>
      </c>
      <c r="BG3" s="8">
        <f t="shared" ca="1" si="6"/>
        <v>0</v>
      </c>
      <c r="BH3" s="8">
        <f t="shared" ca="1" si="6"/>
        <v>0</v>
      </c>
      <c r="BI3" s="8">
        <f t="shared" ref="BI3:BX18" ca="1" si="7">$B3*100*(BI$2&lt;$A3)+100*(1+$B3)*(BI$2=$A3)</f>
        <v>0</v>
      </c>
      <c r="BJ3" s="8">
        <f t="shared" ca="1" si="7"/>
        <v>0</v>
      </c>
      <c r="BK3" s="8">
        <f t="shared" ca="1" si="7"/>
        <v>0</v>
      </c>
      <c r="BL3" s="8">
        <f t="shared" ca="1" si="7"/>
        <v>0</v>
      </c>
      <c r="BM3" s="8">
        <f t="shared" ca="1" si="7"/>
        <v>0</v>
      </c>
      <c r="BN3" s="8">
        <f t="shared" ca="1" si="7"/>
        <v>0</v>
      </c>
      <c r="BO3" s="8">
        <f t="shared" ca="1" si="7"/>
        <v>0</v>
      </c>
      <c r="BP3" s="8">
        <f t="shared" ca="1" si="7"/>
        <v>0</v>
      </c>
      <c r="BQ3" s="8">
        <f t="shared" ca="1" si="7"/>
        <v>0</v>
      </c>
      <c r="BR3" s="8">
        <f t="shared" ca="1" si="7"/>
        <v>0</v>
      </c>
      <c r="BS3" s="8">
        <f t="shared" ca="1" si="7"/>
        <v>0</v>
      </c>
      <c r="BT3" s="8">
        <f t="shared" ca="1" si="7"/>
        <v>0</v>
      </c>
      <c r="BU3" s="8">
        <f t="shared" ca="1" si="7"/>
        <v>0</v>
      </c>
      <c r="BV3" s="8">
        <f t="shared" ca="1" si="7"/>
        <v>0</v>
      </c>
      <c r="BW3" s="8">
        <f t="shared" ca="1" si="7"/>
        <v>0</v>
      </c>
      <c r="BX3" s="8">
        <f t="shared" ca="1" si="7"/>
        <v>0</v>
      </c>
      <c r="BY3" s="8">
        <f t="shared" ref="BY3:CK18" ca="1" si="8">$B3*100*(BY$2&lt;$A3)+100*(1+$B3)*(BY$2=$A3)</f>
        <v>0</v>
      </c>
      <c r="BZ3" s="8">
        <f t="shared" ca="1" si="8"/>
        <v>0</v>
      </c>
      <c r="CA3" s="8">
        <f t="shared" ca="1" si="8"/>
        <v>0</v>
      </c>
      <c r="CB3" s="8">
        <f t="shared" ca="1" si="8"/>
        <v>0</v>
      </c>
      <c r="CC3" s="8">
        <f t="shared" ca="1" si="8"/>
        <v>0</v>
      </c>
      <c r="CD3" s="8">
        <f t="shared" ca="1" si="8"/>
        <v>0</v>
      </c>
      <c r="CE3" s="8">
        <f t="shared" ca="1" si="8"/>
        <v>0</v>
      </c>
      <c r="CF3" s="8">
        <f t="shared" ca="1" si="8"/>
        <v>0</v>
      </c>
      <c r="CG3" s="8">
        <f t="shared" ca="1" si="8"/>
        <v>0</v>
      </c>
      <c r="CH3" s="8">
        <f t="shared" ca="1" si="8"/>
        <v>0</v>
      </c>
      <c r="CI3" s="8">
        <f t="shared" ca="1" si="8"/>
        <v>0</v>
      </c>
      <c r="CJ3" s="8">
        <f t="shared" ca="1" si="8"/>
        <v>0</v>
      </c>
      <c r="CK3" s="29">
        <f t="shared" ca="1" si="8"/>
        <v>0</v>
      </c>
      <c r="CN3" s="19">
        <v>9.9999999999999995E-7</v>
      </c>
      <c r="CO3" s="16">
        <f>$B$248</f>
        <v>0.05</v>
      </c>
      <c r="CP3" s="16">
        <f>b1_*(1-EXP(-CN3/tau1_))/(CN3/tau1_)</f>
        <v>-2.1912016713116267E-2</v>
      </c>
      <c r="CQ3" s="16">
        <f>b2_*((1-EXP(-CN3/tau1_))/(CN3/tau1_)-EXP(-CN3/tau1_))</f>
        <v>1.4819519269788485E-9</v>
      </c>
      <c r="CR3" s="16">
        <f>+b3_*((1-EXP(-CN3/tau2_))/(CN3/tau2_)-EXP(-CN3/tau2_))</f>
        <v>2.0944027355237646E-9</v>
      </c>
      <c r="CS3" s="16">
        <f>SUM(CO3:CR3)</f>
        <v>2.8087986863238396E-2</v>
      </c>
      <c r="EC3" s="8">
        <f ca="1"/>
        <v>1.2699999999967817E-2</v>
      </c>
      <c r="ED3" s="8">
        <f ca="1"/>
        <v>1.2589999999999999E-2</v>
      </c>
      <c r="EE3" s="8">
        <f ca="1"/>
        <v>1.2809999999935633E-2</v>
      </c>
    </row>
    <row r="4" spans="1:135" x14ac:dyDescent="0.45">
      <c r="A4" s="7">
        <f ca="1"/>
        <v>1</v>
      </c>
      <c r="B4" s="57">
        <f ca="1"/>
        <v>4.1399999999999996E-3</v>
      </c>
      <c r="C4" s="17">
        <f ca="1"/>
        <v>99.092500000000001</v>
      </c>
      <c r="D4" s="17">
        <f t="shared" ca="1" si="0"/>
        <v>99.155931520123531</v>
      </c>
      <c r="E4" s="17">
        <f t="shared" ref="E4:E42" ca="1" si="9">+D4-C4</f>
        <v>6.3431520123529594E-2</v>
      </c>
      <c r="F4" s="17">
        <f t="shared" ca="1" si="1"/>
        <v>6.3431520123529594E-2</v>
      </c>
      <c r="G4" s="18">
        <f t="shared" ref="G4:G34" ca="1" si="10">+IFERROR(IRR(K4:CK4,0),0)</f>
        <v>8.7370527826133859E-3</v>
      </c>
      <c r="H4" s="18">
        <f ca="1">IFERROR(IRR((J4,L4:CK4),0),0)</f>
        <v>8.4136796897016364E-3</v>
      </c>
      <c r="I4" s="52">
        <f t="shared" ca="1" si="2"/>
        <v>-3.2337309291174954E-4</v>
      </c>
      <c r="J4" s="17">
        <f ca="1">-D4</f>
        <v>-99.155931520123531</v>
      </c>
      <c r="K4" s="28">
        <f t="shared" ca="1" si="3"/>
        <v>-99.092500000000001</v>
      </c>
      <c r="L4" s="8">
        <f t="shared" ref="L4:AA19" ca="1" si="11">$B4*100*(L$2&lt;$A4)+100*(1+$B4)*(L$2=$A4)</f>
        <v>0.41399999999999998</v>
      </c>
      <c r="M4" s="8">
        <f t="shared" ca="1" si="11"/>
        <v>100.414</v>
      </c>
      <c r="N4" s="8">
        <f t="shared" ca="1" si="11"/>
        <v>0</v>
      </c>
      <c r="O4" s="8">
        <f t="shared" ca="1" si="11"/>
        <v>0</v>
      </c>
      <c r="P4" s="8">
        <f t="shared" ca="1" si="11"/>
        <v>0</v>
      </c>
      <c r="Q4" s="8">
        <f t="shared" ca="1" si="11"/>
        <v>0</v>
      </c>
      <c r="R4" s="8">
        <f t="shared" ca="1" si="11"/>
        <v>0</v>
      </c>
      <c r="S4" s="8">
        <f t="shared" ca="1" si="11"/>
        <v>0</v>
      </c>
      <c r="T4" s="8">
        <f t="shared" ca="1" si="11"/>
        <v>0</v>
      </c>
      <c r="U4" s="8">
        <f t="shared" ca="1" si="11"/>
        <v>0</v>
      </c>
      <c r="V4" s="8">
        <f t="shared" ca="1" si="4"/>
        <v>0</v>
      </c>
      <c r="W4" s="8">
        <f t="shared" ca="1" si="4"/>
        <v>0</v>
      </c>
      <c r="X4" s="8">
        <f t="shared" ca="1" si="4"/>
        <v>0</v>
      </c>
      <c r="Y4" s="8">
        <f t="shared" ca="1" si="4"/>
        <v>0</v>
      </c>
      <c r="Z4" s="8">
        <f t="shared" ca="1" si="4"/>
        <v>0</v>
      </c>
      <c r="AA4" s="8">
        <f t="shared" ca="1" si="4"/>
        <v>0</v>
      </c>
      <c r="AB4" s="8">
        <f t="shared" ca="1" si="4"/>
        <v>0</v>
      </c>
      <c r="AC4" s="8">
        <f t="shared" ca="1" si="5"/>
        <v>0</v>
      </c>
      <c r="AD4" s="8">
        <f t="shared" ca="1" si="5"/>
        <v>0</v>
      </c>
      <c r="AE4" s="8">
        <f t="shared" ca="1" si="5"/>
        <v>0</v>
      </c>
      <c r="AF4" s="8">
        <f t="shared" ca="1" si="5"/>
        <v>0</v>
      </c>
      <c r="AG4" s="8">
        <f t="shared" ca="1" si="5"/>
        <v>0</v>
      </c>
      <c r="AH4" s="8">
        <f t="shared" ca="1" si="5"/>
        <v>0</v>
      </c>
      <c r="AI4" s="8">
        <f t="shared" ca="1" si="5"/>
        <v>0</v>
      </c>
      <c r="AJ4" s="8">
        <f t="shared" ca="1" si="5"/>
        <v>0</v>
      </c>
      <c r="AK4" s="8">
        <f t="shared" ca="1" si="5"/>
        <v>0</v>
      </c>
      <c r="AL4" s="8">
        <f t="shared" ca="1" si="5"/>
        <v>0</v>
      </c>
      <c r="AM4" s="8">
        <f t="shared" ca="1" si="5"/>
        <v>0</v>
      </c>
      <c r="AN4" s="8">
        <f t="shared" ca="1" si="5"/>
        <v>0</v>
      </c>
      <c r="AO4" s="8">
        <f t="shared" ca="1" si="5"/>
        <v>0</v>
      </c>
      <c r="AP4" s="8">
        <f t="shared" ca="1" si="5"/>
        <v>0</v>
      </c>
      <c r="AQ4" s="8">
        <f t="shared" ca="1" si="5"/>
        <v>0</v>
      </c>
      <c r="AR4" s="8">
        <f t="shared" ca="1" si="5"/>
        <v>0</v>
      </c>
      <c r="AS4" s="8">
        <f t="shared" ca="1" si="6"/>
        <v>0</v>
      </c>
      <c r="AT4" s="8">
        <f t="shared" ca="1" si="6"/>
        <v>0</v>
      </c>
      <c r="AU4" s="8">
        <f t="shared" ca="1" si="6"/>
        <v>0</v>
      </c>
      <c r="AV4" s="8">
        <f t="shared" ca="1" si="6"/>
        <v>0</v>
      </c>
      <c r="AW4" s="8">
        <f t="shared" ca="1" si="6"/>
        <v>0</v>
      </c>
      <c r="AX4" s="8">
        <f t="shared" ca="1" si="6"/>
        <v>0</v>
      </c>
      <c r="AY4" s="8">
        <f t="shared" ca="1" si="6"/>
        <v>0</v>
      </c>
      <c r="AZ4" s="8">
        <f t="shared" ca="1" si="6"/>
        <v>0</v>
      </c>
      <c r="BA4" s="8">
        <f t="shared" ca="1" si="6"/>
        <v>0</v>
      </c>
      <c r="BB4" s="8">
        <f t="shared" ca="1" si="6"/>
        <v>0</v>
      </c>
      <c r="BC4" s="8">
        <f t="shared" ca="1" si="6"/>
        <v>0</v>
      </c>
      <c r="BD4" s="8">
        <f t="shared" ca="1" si="6"/>
        <v>0</v>
      </c>
      <c r="BE4" s="8">
        <f t="shared" ca="1" si="6"/>
        <v>0</v>
      </c>
      <c r="BF4" s="8">
        <f t="shared" ca="1" si="6"/>
        <v>0</v>
      </c>
      <c r="BG4" s="8">
        <f t="shared" ca="1" si="6"/>
        <v>0</v>
      </c>
      <c r="BH4" s="8">
        <f t="shared" ca="1" si="6"/>
        <v>0</v>
      </c>
      <c r="BI4" s="8">
        <f t="shared" ca="1" si="7"/>
        <v>0</v>
      </c>
      <c r="BJ4" s="8">
        <f t="shared" ca="1" si="7"/>
        <v>0</v>
      </c>
      <c r="BK4" s="8">
        <f t="shared" ca="1" si="7"/>
        <v>0</v>
      </c>
      <c r="BL4" s="8">
        <f t="shared" ca="1" si="7"/>
        <v>0</v>
      </c>
      <c r="BM4" s="8">
        <f t="shared" ca="1" si="7"/>
        <v>0</v>
      </c>
      <c r="BN4" s="8">
        <f t="shared" ca="1" si="7"/>
        <v>0</v>
      </c>
      <c r="BO4" s="8">
        <f t="shared" ca="1" si="7"/>
        <v>0</v>
      </c>
      <c r="BP4" s="8">
        <f t="shared" ca="1" si="7"/>
        <v>0</v>
      </c>
      <c r="BQ4" s="8">
        <f t="shared" ca="1" si="7"/>
        <v>0</v>
      </c>
      <c r="BR4" s="8">
        <f t="shared" ca="1" si="7"/>
        <v>0</v>
      </c>
      <c r="BS4" s="8">
        <f t="shared" ca="1" si="7"/>
        <v>0</v>
      </c>
      <c r="BT4" s="8">
        <f t="shared" ca="1" si="7"/>
        <v>0</v>
      </c>
      <c r="BU4" s="8">
        <f t="shared" ca="1" si="7"/>
        <v>0</v>
      </c>
      <c r="BV4" s="8">
        <f t="shared" ca="1" si="7"/>
        <v>0</v>
      </c>
      <c r="BW4" s="8">
        <f t="shared" ca="1" si="7"/>
        <v>0</v>
      </c>
      <c r="BX4" s="8">
        <f t="shared" ca="1" si="7"/>
        <v>0</v>
      </c>
      <c r="BY4" s="8">
        <f t="shared" ca="1" si="8"/>
        <v>0</v>
      </c>
      <c r="BZ4" s="8">
        <f t="shared" ca="1" si="8"/>
        <v>0</v>
      </c>
      <c r="CA4" s="8">
        <f t="shared" ca="1" si="8"/>
        <v>0</v>
      </c>
      <c r="CB4" s="8">
        <f t="shared" ca="1" si="8"/>
        <v>0</v>
      </c>
      <c r="CC4" s="8">
        <f t="shared" ca="1" si="8"/>
        <v>0</v>
      </c>
      <c r="CD4" s="8">
        <f t="shared" ca="1" si="8"/>
        <v>0</v>
      </c>
      <c r="CE4" s="8">
        <f t="shared" ca="1" si="8"/>
        <v>0</v>
      </c>
      <c r="CF4" s="8">
        <f t="shared" ca="1" si="8"/>
        <v>0</v>
      </c>
      <c r="CG4" s="8">
        <f t="shared" ca="1" si="8"/>
        <v>0</v>
      </c>
      <c r="CH4" s="8">
        <f t="shared" ca="1" si="8"/>
        <v>0</v>
      </c>
      <c r="CI4" s="8">
        <f t="shared" ca="1" si="8"/>
        <v>0</v>
      </c>
      <c r="CJ4" s="8">
        <f t="shared" ca="1" si="8"/>
        <v>0</v>
      </c>
      <c r="CK4" s="29">
        <f t="shared" ca="1" si="8"/>
        <v>0</v>
      </c>
      <c r="CN4" s="8" cm="1">
        <f t="array" ref="CN4:CN503">_xlfn.SEQUENCE(500,,0.5,0.5)</f>
        <v>0.5</v>
      </c>
      <c r="CO4" s="16" cm="1">
        <f t="array" ref="CO4:CO503">_xlfn.ANCHORARRAY(CN4)-_xlfn.ANCHORARRAY(CN4)+$B$248</f>
        <v>0.05</v>
      </c>
      <c r="CP4" s="16" cm="1">
        <f t="array" ref="CP4:CP503">b1_*(1-EXP(-_xlfn.ANCHORARRAY(CN4)/tau1_))/(_xlfn.ANCHORARRAY(CN4)/tau1_)</f>
        <v>-2.1606522310573962E-2</v>
      </c>
      <c r="CQ4" s="16" cm="1">
        <f t="array" ref="CQ4:CQ503">b2_*((1-EXP(-_xlfn.ANCHORARRAY(CN4)/tau1_))/(_xlfn.ANCHORARRAY(CN4)/tau1_)-EXP(-_xlfn.ANCHORARRAY(CN4)/tau1_))</f>
        <v>7.2597819972507638E-4</v>
      </c>
      <c r="CR4" s="16" cm="1">
        <f t="array" ref="CR4:CR503">+b3_*((1-EXP(-_xlfn.ANCHORARRAY(CN4)/tau2_))/(_xlfn.ANCHORARRAY(CN4)/tau2_)-EXP(-_xlfn.ANCHORARRAY(CN4)/tau2_))</f>
        <v>8.8775393335670553E-4</v>
      </c>
      <c r="CS4" s="16">
        <f t="shared" ref="CS4:CS5" si="12">SUM(CO4:CR4)</f>
        <v>3.0007209822507822E-2</v>
      </c>
      <c r="EC4" s="8">
        <f ca="1"/>
        <v>1.2829999999999999E-2</v>
      </c>
      <c r="ED4" s="8">
        <f ca="1"/>
        <v>1.274E-2</v>
      </c>
      <c r="EE4" s="8">
        <f ca="1"/>
        <v>1.2920000000000001E-2</v>
      </c>
    </row>
    <row r="5" spans="1:135" x14ac:dyDescent="0.45">
      <c r="A5" s="7">
        <f ca="1"/>
        <v>1</v>
      </c>
      <c r="B5" s="57">
        <f ca="1"/>
        <v>2.2000000000000001E-3</v>
      </c>
      <c r="C5" s="17">
        <f ca="1"/>
        <v>98.719500000000011</v>
      </c>
      <c r="D5" s="17">
        <f t="shared" ca="1" si="0"/>
        <v>98.7727634702035</v>
      </c>
      <c r="E5" s="17">
        <f t="shared" ca="1" si="9"/>
        <v>5.326347020348976E-2</v>
      </c>
      <c r="F5" s="17">
        <f t="shared" ca="1" si="1"/>
        <v>5.326347020348976E-2</v>
      </c>
      <c r="G5" s="18">
        <f t="shared" ca="1" si="10"/>
        <v>8.6860387855658416E-3</v>
      </c>
      <c r="H5" s="18">
        <f ca="1">IFERROR(IRR((J5,L5:CK5),0),0)</f>
        <v>8.4137330950724287E-3</v>
      </c>
      <c r="I5" s="52">
        <f t="shared" ca="1" si="2"/>
        <v>-2.7230569049341291E-4</v>
      </c>
      <c r="J5" s="17">
        <f t="shared" ref="J5:J42" ca="1" si="13">-D5</f>
        <v>-98.7727634702035</v>
      </c>
      <c r="K5" s="28">
        <f t="shared" ca="1" si="3"/>
        <v>-98.719500000000011</v>
      </c>
      <c r="L5" s="8">
        <f t="shared" ca="1" si="11"/>
        <v>0.22</v>
      </c>
      <c r="M5" s="8">
        <f t="shared" ca="1" si="11"/>
        <v>100.22</v>
      </c>
      <c r="N5" s="8">
        <f t="shared" ca="1" si="11"/>
        <v>0</v>
      </c>
      <c r="O5" s="8">
        <f t="shared" ca="1" si="11"/>
        <v>0</v>
      </c>
      <c r="P5" s="8">
        <f t="shared" ca="1" si="11"/>
        <v>0</v>
      </c>
      <c r="Q5" s="8">
        <f t="shared" ca="1" si="11"/>
        <v>0</v>
      </c>
      <c r="R5" s="8">
        <f t="shared" ca="1" si="11"/>
        <v>0</v>
      </c>
      <c r="S5" s="8">
        <f t="shared" ca="1" si="11"/>
        <v>0</v>
      </c>
      <c r="T5" s="8">
        <f t="shared" ca="1" si="11"/>
        <v>0</v>
      </c>
      <c r="U5" s="8">
        <f t="shared" ca="1" si="11"/>
        <v>0</v>
      </c>
      <c r="V5" s="8">
        <f t="shared" ca="1" si="4"/>
        <v>0</v>
      </c>
      <c r="W5" s="8">
        <f t="shared" ca="1" si="4"/>
        <v>0</v>
      </c>
      <c r="X5" s="8">
        <f t="shared" ca="1" si="4"/>
        <v>0</v>
      </c>
      <c r="Y5" s="8">
        <f t="shared" ca="1" si="4"/>
        <v>0</v>
      </c>
      <c r="Z5" s="8">
        <f t="shared" ca="1" si="4"/>
        <v>0</v>
      </c>
      <c r="AA5" s="8">
        <f t="shared" ca="1" si="4"/>
        <v>0</v>
      </c>
      <c r="AB5" s="8">
        <f t="shared" ca="1" si="4"/>
        <v>0</v>
      </c>
      <c r="AC5" s="8">
        <f t="shared" ca="1" si="5"/>
        <v>0</v>
      </c>
      <c r="AD5" s="8">
        <f t="shared" ca="1" si="5"/>
        <v>0</v>
      </c>
      <c r="AE5" s="8">
        <f t="shared" ca="1" si="5"/>
        <v>0</v>
      </c>
      <c r="AF5" s="8">
        <f t="shared" ca="1" si="5"/>
        <v>0</v>
      </c>
      <c r="AG5" s="8">
        <f t="shared" ca="1" si="5"/>
        <v>0</v>
      </c>
      <c r="AH5" s="8">
        <f t="shared" ca="1" si="5"/>
        <v>0</v>
      </c>
      <c r="AI5" s="8">
        <f t="shared" ca="1" si="5"/>
        <v>0</v>
      </c>
      <c r="AJ5" s="8">
        <f t="shared" ca="1" si="5"/>
        <v>0</v>
      </c>
      <c r="AK5" s="8">
        <f t="shared" ca="1" si="5"/>
        <v>0</v>
      </c>
      <c r="AL5" s="8">
        <f t="shared" ca="1" si="5"/>
        <v>0</v>
      </c>
      <c r="AM5" s="8">
        <f t="shared" ca="1" si="5"/>
        <v>0</v>
      </c>
      <c r="AN5" s="8">
        <f t="shared" ca="1" si="5"/>
        <v>0</v>
      </c>
      <c r="AO5" s="8">
        <f t="shared" ca="1" si="5"/>
        <v>0</v>
      </c>
      <c r="AP5" s="8">
        <f t="shared" ca="1" si="5"/>
        <v>0</v>
      </c>
      <c r="AQ5" s="8">
        <f t="shared" ca="1" si="5"/>
        <v>0</v>
      </c>
      <c r="AR5" s="8">
        <f t="shared" ca="1" si="5"/>
        <v>0</v>
      </c>
      <c r="AS5" s="8">
        <f t="shared" ca="1" si="6"/>
        <v>0</v>
      </c>
      <c r="AT5" s="8">
        <f t="shared" ca="1" si="6"/>
        <v>0</v>
      </c>
      <c r="AU5" s="8">
        <f t="shared" ca="1" si="6"/>
        <v>0</v>
      </c>
      <c r="AV5" s="8">
        <f t="shared" ca="1" si="6"/>
        <v>0</v>
      </c>
      <c r="AW5" s="8">
        <f t="shared" ca="1" si="6"/>
        <v>0</v>
      </c>
      <c r="AX5" s="8">
        <f t="shared" ca="1" si="6"/>
        <v>0</v>
      </c>
      <c r="AY5" s="8">
        <f t="shared" ca="1" si="6"/>
        <v>0</v>
      </c>
      <c r="AZ5" s="8">
        <f t="shared" ca="1" si="6"/>
        <v>0</v>
      </c>
      <c r="BA5" s="8">
        <f t="shared" ca="1" si="6"/>
        <v>0</v>
      </c>
      <c r="BB5" s="8">
        <f t="shared" ca="1" si="6"/>
        <v>0</v>
      </c>
      <c r="BC5" s="8">
        <f t="shared" ca="1" si="6"/>
        <v>0</v>
      </c>
      <c r="BD5" s="8">
        <f t="shared" ca="1" si="6"/>
        <v>0</v>
      </c>
      <c r="BE5" s="8">
        <f t="shared" ca="1" si="6"/>
        <v>0</v>
      </c>
      <c r="BF5" s="8">
        <f t="shared" ca="1" si="6"/>
        <v>0</v>
      </c>
      <c r="BG5" s="8">
        <f t="shared" ca="1" si="6"/>
        <v>0</v>
      </c>
      <c r="BH5" s="8">
        <f t="shared" ca="1" si="6"/>
        <v>0</v>
      </c>
      <c r="BI5" s="8">
        <f t="shared" ca="1" si="7"/>
        <v>0</v>
      </c>
      <c r="BJ5" s="8">
        <f t="shared" ca="1" si="7"/>
        <v>0</v>
      </c>
      <c r="BK5" s="8">
        <f t="shared" ca="1" si="7"/>
        <v>0</v>
      </c>
      <c r="BL5" s="8">
        <f t="shared" ca="1" si="7"/>
        <v>0</v>
      </c>
      <c r="BM5" s="8">
        <f t="shared" ca="1" si="7"/>
        <v>0</v>
      </c>
      <c r="BN5" s="8">
        <f t="shared" ca="1" si="7"/>
        <v>0</v>
      </c>
      <c r="BO5" s="8">
        <f t="shared" ca="1" si="7"/>
        <v>0</v>
      </c>
      <c r="BP5" s="8">
        <f t="shared" ca="1" si="7"/>
        <v>0</v>
      </c>
      <c r="BQ5" s="8">
        <f t="shared" ca="1" si="7"/>
        <v>0</v>
      </c>
      <c r="BR5" s="8">
        <f t="shared" ca="1" si="7"/>
        <v>0</v>
      </c>
      <c r="BS5" s="8">
        <f t="shared" ca="1" si="7"/>
        <v>0</v>
      </c>
      <c r="BT5" s="8">
        <f t="shared" ca="1" si="7"/>
        <v>0</v>
      </c>
      <c r="BU5" s="8">
        <f t="shared" ca="1" si="7"/>
        <v>0</v>
      </c>
      <c r="BV5" s="8">
        <f t="shared" ca="1" si="7"/>
        <v>0</v>
      </c>
      <c r="BW5" s="8">
        <f t="shared" ca="1" si="7"/>
        <v>0</v>
      </c>
      <c r="BX5" s="8">
        <f t="shared" ca="1" si="7"/>
        <v>0</v>
      </c>
      <c r="BY5" s="8">
        <f t="shared" ca="1" si="8"/>
        <v>0</v>
      </c>
      <c r="BZ5" s="8">
        <f t="shared" ca="1" si="8"/>
        <v>0</v>
      </c>
      <c r="CA5" s="8">
        <f t="shared" ca="1" si="8"/>
        <v>0</v>
      </c>
      <c r="CB5" s="8">
        <f t="shared" ca="1" si="8"/>
        <v>0</v>
      </c>
      <c r="CC5" s="8">
        <f t="shared" ca="1" si="8"/>
        <v>0</v>
      </c>
      <c r="CD5" s="8">
        <f t="shared" ca="1" si="8"/>
        <v>0</v>
      </c>
      <c r="CE5" s="8">
        <f t="shared" ca="1" si="8"/>
        <v>0</v>
      </c>
      <c r="CF5" s="8">
        <f t="shared" ca="1" si="8"/>
        <v>0</v>
      </c>
      <c r="CG5" s="8">
        <f t="shared" ca="1" si="8"/>
        <v>0</v>
      </c>
      <c r="CH5" s="8">
        <f t="shared" ca="1" si="8"/>
        <v>0</v>
      </c>
      <c r="CI5" s="8">
        <f t="shared" ca="1" si="8"/>
        <v>0</v>
      </c>
      <c r="CJ5" s="8">
        <f t="shared" ca="1" si="8"/>
        <v>0</v>
      </c>
      <c r="CK5" s="29">
        <f t="shared" ca="1" si="8"/>
        <v>0</v>
      </c>
      <c r="CN5" s="8">
        <v>1</v>
      </c>
      <c r="CO5" s="16">
        <v>0.05</v>
      </c>
      <c r="CP5" s="16">
        <v>-2.1306692952680933E-2</v>
      </c>
      <c r="CQ5" s="16">
        <v>1.4250602486923776E-3</v>
      </c>
      <c r="CR5" s="16">
        <v>1.7609213717264024E-3</v>
      </c>
      <c r="CS5" s="16">
        <f t="shared" si="12"/>
        <v>3.187928866773785E-2</v>
      </c>
      <c r="EC5" s="8">
        <f ca="1"/>
        <v>1.282E-2</v>
      </c>
      <c r="ED5" s="8">
        <f ca="1"/>
        <v>1.2730000000000002E-2</v>
      </c>
      <c r="EE5" s="8">
        <f ca="1"/>
        <v>1.291E-2</v>
      </c>
    </row>
    <row r="6" spans="1:135" x14ac:dyDescent="0.45">
      <c r="A6" s="7">
        <f ca="1"/>
        <v>1</v>
      </c>
      <c r="B6" s="57">
        <f ca="1"/>
        <v>1.1000000000000001E-3</v>
      </c>
      <c r="C6" s="17">
        <f ca="1"/>
        <v>98.58850000000001</v>
      </c>
      <c r="D6" s="17">
        <f t="shared" ca="1" si="0"/>
        <v>98.555503235712777</v>
      </c>
      <c r="E6" s="17">
        <f t="shared" ca="1" si="9"/>
        <v>-3.2996764287233304E-2</v>
      </c>
      <c r="F6" s="17">
        <f t="shared" ca="1" si="1"/>
        <v>3.2996764287233304E-2</v>
      </c>
      <c r="G6" s="18">
        <f t="shared" ca="1" si="10"/>
        <v>8.2449020412260765E-3</v>
      </c>
      <c r="H6" s="18">
        <f ca="1">IFERROR(IRR((J6,L6:CK6),0),0)</f>
        <v>8.4137635147136791E-3</v>
      </c>
      <c r="I6" s="52">
        <f t="shared" ca="1" si="2"/>
        <v>1.6886147348760261E-4</v>
      </c>
      <c r="J6" s="17">
        <f t="shared" ca="1" si="13"/>
        <v>-98.555503235712777</v>
      </c>
      <c r="K6" s="28">
        <f t="shared" ca="1" si="3"/>
        <v>-98.58850000000001</v>
      </c>
      <c r="L6" s="8">
        <f t="shared" ca="1" si="11"/>
        <v>0.11</v>
      </c>
      <c r="M6" s="8">
        <f t="shared" ca="1" si="11"/>
        <v>100.11000000000001</v>
      </c>
      <c r="N6" s="8">
        <f t="shared" ca="1" si="11"/>
        <v>0</v>
      </c>
      <c r="O6" s="8">
        <f t="shared" ca="1" si="11"/>
        <v>0</v>
      </c>
      <c r="P6" s="8">
        <f t="shared" ca="1" si="11"/>
        <v>0</v>
      </c>
      <c r="Q6" s="8">
        <f t="shared" ca="1" si="11"/>
        <v>0</v>
      </c>
      <c r="R6" s="8">
        <f t="shared" ca="1" si="11"/>
        <v>0</v>
      </c>
      <c r="S6" s="8">
        <f t="shared" ca="1" si="11"/>
        <v>0</v>
      </c>
      <c r="T6" s="8">
        <f t="shared" ca="1" si="11"/>
        <v>0</v>
      </c>
      <c r="U6" s="8">
        <f t="shared" ca="1" si="11"/>
        <v>0</v>
      </c>
      <c r="V6" s="8">
        <f t="shared" ca="1" si="4"/>
        <v>0</v>
      </c>
      <c r="W6" s="8">
        <f t="shared" ca="1" si="4"/>
        <v>0</v>
      </c>
      <c r="X6" s="8">
        <f t="shared" ca="1" si="4"/>
        <v>0</v>
      </c>
      <c r="Y6" s="8">
        <f t="shared" ca="1" si="4"/>
        <v>0</v>
      </c>
      <c r="Z6" s="8">
        <f t="shared" ca="1" si="4"/>
        <v>0</v>
      </c>
      <c r="AA6" s="8">
        <f t="shared" ca="1" si="4"/>
        <v>0</v>
      </c>
      <c r="AB6" s="8">
        <f t="shared" ca="1" si="4"/>
        <v>0</v>
      </c>
      <c r="AC6" s="8">
        <f t="shared" ca="1" si="5"/>
        <v>0</v>
      </c>
      <c r="AD6" s="8">
        <f t="shared" ca="1" si="5"/>
        <v>0</v>
      </c>
      <c r="AE6" s="8">
        <f t="shared" ca="1" si="5"/>
        <v>0</v>
      </c>
      <c r="AF6" s="8">
        <f t="shared" ca="1" si="5"/>
        <v>0</v>
      </c>
      <c r="AG6" s="8">
        <f t="shared" ca="1" si="5"/>
        <v>0</v>
      </c>
      <c r="AH6" s="8">
        <f t="shared" ca="1" si="5"/>
        <v>0</v>
      </c>
      <c r="AI6" s="8">
        <f t="shared" ca="1" si="5"/>
        <v>0</v>
      </c>
      <c r="AJ6" s="8">
        <f t="shared" ca="1" si="5"/>
        <v>0</v>
      </c>
      <c r="AK6" s="8">
        <f t="shared" ca="1" si="5"/>
        <v>0</v>
      </c>
      <c r="AL6" s="8">
        <f t="shared" ca="1" si="5"/>
        <v>0</v>
      </c>
      <c r="AM6" s="8">
        <f t="shared" ca="1" si="5"/>
        <v>0</v>
      </c>
      <c r="AN6" s="8">
        <f t="shared" ca="1" si="5"/>
        <v>0</v>
      </c>
      <c r="AO6" s="8">
        <f t="shared" ca="1" si="5"/>
        <v>0</v>
      </c>
      <c r="AP6" s="8">
        <f t="shared" ca="1" si="5"/>
        <v>0</v>
      </c>
      <c r="AQ6" s="8">
        <f t="shared" ca="1" si="5"/>
        <v>0</v>
      </c>
      <c r="AR6" s="8">
        <f t="shared" ca="1" si="5"/>
        <v>0</v>
      </c>
      <c r="AS6" s="8">
        <f t="shared" ca="1" si="6"/>
        <v>0</v>
      </c>
      <c r="AT6" s="8">
        <f t="shared" ca="1" si="6"/>
        <v>0</v>
      </c>
      <c r="AU6" s="8">
        <f t="shared" ca="1" si="6"/>
        <v>0</v>
      </c>
      <c r="AV6" s="8">
        <f t="shared" ca="1" si="6"/>
        <v>0</v>
      </c>
      <c r="AW6" s="8">
        <f t="shared" ca="1" si="6"/>
        <v>0</v>
      </c>
      <c r="AX6" s="8">
        <f t="shared" ca="1" si="6"/>
        <v>0</v>
      </c>
      <c r="AY6" s="8">
        <f t="shared" ca="1" si="6"/>
        <v>0</v>
      </c>
      <c r="AZ6" s="8">
        <f t="shared" ca="1" si="6"/>
        <v>0</v>
      </c>
      <c r="BA6" s="8">
        <f t="shared" ca="1" si="6"/>
        <v>0</v>
      </c>
      <c r="BB6" s="8">
        <f t="shared" ca="1" si="6"/>
        <v>0</v>
      </c>
      <c r="BC6" s="8">
        <f t="shared" ca="1" si="6"/>
        <v>0</v>
      </c>
      <c r="BD6" s="8">
        <f t="shared" ca="1" si="6"/>
        <v>0</v>
      </c>
      <c r="BE6" s="8">
        <f t="shared" ca="1" si="6"/>
        <v>0</v>
      </c>
      <c r="BF6" s="8">
        <f t="shared" ca="1" si="6"/>
        <v>0</v>
      </c>
      <c r="BG6" s="8">
        <f t="shared" ca="1" si="6"/>
        <v>0</v>
      </c>
      <c r="BH6" s="8">
        <f t="shared" ca="1" si="6"/>
        <v>0</v>
      </c>
      <c r="BI6" s="8">
        <f t="shared" ca="1" si="7"/>
        <v>0</v>
      </c>
      <c r="BJ6" s="8">
        <f t="shared" ca="1" si="7"/>
        <v>0</v>
      </c>
      <c r="BK6" s="8">
        <f t="shared" ca="1" si="7"/>
        <v>0</v>
      </c>
      <c r="BL6" s="8">
        <f t="shared" ca="1" si="7"/>
        <v>0</v>
      </c>
      <c r="BM6" s="8">
        <f t="shared" ca="1" si="7"/>
        <v>0</v>
      </c>
      <c r="BN6" s="8">
        <f t="shared" ca="1" si="7"/>
        <v>0</v>
      </c>
      <c r="BO6" s="8">
        <f t="shared" ca="1" si="7"/>
        <v>0</v>
      </c>
      <c r="BP6" s="8">
        <f t="shared" ca="1" si="7"/>
        <v>0</v>
      </c>
      <c r="BQ6" s="8">
        <f t="shared" ca="1" si="7"/>
        <v>0</v>
      </c>
      <c r="BR6" s="8">
        <f t="shared" ca="1" si="7"/>
        <v>0</v>
      </c>
      <c r="BS6" s="8">
        <f t="shared" ca="1" si="7"/>
        <v>0</v>
      </c>
      <c r="BT6" s="8">
        <f t="shared" ca="1" si="7"/>
        <v>0</v>
      </c>
      <c r="BU6" s="8">
        <f t="shared" ca="1" si="7"/>
        <v>0</v>
      </c>
      <c r="BV6" s="8">
        <f t="shared" ca="1" si="7"/>
        <v>0</v>
      </c>
      <c r="BW6" s="8">
        <f t="shared" ca="1" si="7"/>
        <v>0</v>
      </c>
      <c r="BX6" s="8">
        <f t="shared" ca="1" si="7"/>
        <v>0</v>
      </c>
      <c r="BY6" s="8">
        <f t="shared" ca="1" si="8"/>
        <v>0</v>
      </c>
      <c r="BZ6" s="8">
        <f t="shared" ca="1" si="8"/>
        <v>0</v>
      </c>
      <c r="CA6" s="8">
        <f t="shared" ca="1" si="8"/>
        <v>0</v>
      </c>
      <c r="CB6" s="8">
        <f t="shared" ca="1" si="8"/>
        <v>0</v>
      </c>
      <c r="CC6" s="8">
        <f t="shared" ca="1" si="8"/>
        <v>0</v>
      </c>
      <c r="CD6" s="8">
        <f t="shared" ca="1" si="8"/>
        <v>0</v>
      </c>
      <c r="CE6" s="8">
        <f t="shared" ca="1" si="8"/>
        <v>0</v>
      </c>
      <c r="CF6" s="8">
        <f t="shared" ca="1" si="8"/>
        <v>0</v>
      </c>
      <c r="CG6" s="8">
        <f t="shared" ca="1" si="8"/>
        <v>0</v>
      </c>
      <c r="CH6" s="8">
        <f t="shared" ca="1" si="8"/>
        <v>0</v>
      </c>
      <c r="CI6" s="8">
        <f t="shared" ca="1" si="8"/>
        <v>0</v>
      </c>
      <c r="CJ6" s="8">
        <f t="shared" ca="1" si="8"/>
        <v>0</v>
      </c>
      <c r="CK6" s="29">
        <f t="shared" ca="1" si="8"/>
        <v>0</v>
      </c>
      <c r="CN6" s="8">
        <v>1.5</v>
      </c>
      <c r="CO6" s="16">
        <v>0.05</v>
      </c>
      <c r="CP6" s="16">
        <v>-2.1012411156927521E-2</v>
      </c>
      <c r="CQ6" s="16">
        <v>2.0980865110766262E-3</v>
      </c>
      <c r="CR6" s="16">
        <v>2.6197044929360527E-3</v>
      </c>
      <c r="CS6" s="16">
        <f t="shared" ref="CS6:CS69" si="14">SUM(CO6:CR6)</f>
        <v>3.370537984708516E-2</v>
      </c>
      <c r="EC6" s="8">
        <f ca="1"/>
        <v>1.353E-2</v>
      </c>
      <c r="ED6" s="8">
        <f ca="1"/>
        <v>1.3460000000000001E-2</v>
      </c>
      <c r="EE6" s="8">
        <f ca="1"/>
        <v>1.3599999999999999E-2</v>
      </c>
    </row>
    <row r="7" spans="1:135" x14ac:dyDescent="0.45">
      <c r="A7" s="7">
        <f ca="1"/>
        <v>1</v>
      </c>
      <c r="B7" s="57">
        <f ca="1"/>
        <v>2.65E-3</v>
      </c>
      <c r="C7" s="17">
        <f ca="1"/>
        <v>98.543499999999995</v>
      </c>
      <c r="D7" s="17">
        <f t="shared" ca="1" si="0"/>
        <v>98.861642657040619</v>
      </c>
      <c r="E7" s="17">
        <f t="shared" ca="1" si="9"/>
        <v>0.3181426570406245</v>
      </c>
      <c r="F7" s="17">
        <f t="shared" ca="1" si="1"/>
        <v>0.3181426570406245</v>
      </c>
      <c r="G7" s="18">
        <f t="shared" ca="1" si="10"/>
        <v>1.0042383174924785E-2</v>
      </c>
      <c r="H7" s="18">
        <f ca="1">IFERROR(IRR((J7,L7:CK7),0),0)</f>
        <v>8.4137206795735775E-3</v>
      </c>
      <c r="I7" s="52">
        <f t="shared" ca="1" si="2"/>
        <v>-1.6286624953512074E-3</v>
      </c>
      <c r="J7" s="17">
        <f t="shared" ca="1" si="13"/>
        <v>-98.861642657040619</v>
      </c>
      <c r="K7" s="28">
        <f t="shared" ca="1" si="3"/>
        <v>-98.543499999999995</v>
      </c>
      <c r="L7" s="8">
        <f t="shared" ca="1" si="11"/>
        <v>0.26500000000000001</v>
      </c>
      <c r="M7" s="8">
        <f t="shared" ca="1" si="11"/>
        <v>100.265</v>
      </c>
      <c r="N7" s="8">
        <f t="shared" ca="1" si="11"/>
        <v>0</v>
      </c>
      <c r="O7" s="8">
        <f t="shared" ca="1" si="11"/>
        <v>0</v>
      </c>
      <c r="P7" s="8">
        <f t="shared" ca="1" si="11"/>
        <v>0</v>
      </c>
      <c r="Q7" s="8">
        <f t="shared" ca="1" si="11"/>
        <v>0</v>
      </c>
      <c r="R7" s="8">
        <f t="shared" ca="1" si="11"/>
        <v>0</v>
      </c>
      <c r="S7" s="8">
        <f t="shared" ca="1" si="11"/>
        <v>0</v>
      </c>
      <c r="T7" s="8">
        <f t="shared" ca="1" si="11"/>
        <v>0</v>
      </c>
      <c r="U7" s="8">
        <f t="shared" ca="1" si="11"/>
        <v>0</v>
      </c>
      <c r="V7" s="8">
        <f t="shared" ca="1" si="4"/>
        <v>0</v>
      </c>
      <c r="W7" s="8">
        <f t="shared" ca="1" si="4"/>
        <v>0</v>
      </c>
      <c r="X7" s="8">
        <f t="shared" ca="1" si="4"/>
        <v>0</v>
      </c>
      <c r="Y7" s="8">
        <f t="shared" ca="1" si="4"/>
        <v>0</v>
      </c>
      <c r="Z7" s="8">
        <f t="shared" ca="1" si="4"/>
        <v>0</v>
      </c>
      <c r="AA7" s="8">
        <f t="shared" ca="1" si="4"/>
        <v>0</v>
      </c>
      <c r="AB7" s="8">
        <f t="shared" ca="1" si="4"/>
        <v>0</v>
      </c>
      <c r="AC7" s="8">
        <f t="shared" ca="1" si="5"/>
        <v>0</v>
      </c>
      <c r="AD7" s="8">
        <f t="shared" ca="1" si="5"/>
        <v>0</v>
      </c>
      <c r="AE7" s="8">
        <f t="shared" ca="1" si="5"/>
        <v>0</v>
      </c>
      <c r="AF7" s="8">
        <f t="shared" ca="1" si="5"/>
        <v>0</v>
      </c>
      <c r="AG7" s="8">
        <f t="shared" ca="1" si="5"/>
        <v>0</v>
      </c>
      <c r="AH7" s="8">
        <f t="shared" ca="1" si="5"/>
        <v>0</v>
      </c>
      <c r="AI7" s="8">
        <f t="shared" ca="1" si="5"/>
        <v>0</v>
      </c>
      <c r="AJ7" s="8">
        <f t="shared" ca="1" si="5"/>
        <v>0</v>
      </c>
      <c r="AK7" s="8">
        <f t="shared" ca="1" si="5"/>
        <v>0</v>
      </c>
      <c r="AL7" s="8">
        <f t="shared" ca="1" si="5"/>
        <v>0</v>
      </c>
      <c r="AM7" s="8">
        <f t="shared" ca="1" si="5"/>
        <v>0</v>
      </c>
      <c r="AN7" s="8">
        <f t="shared" ca="1" si="5"/>
        <v>0</v>
      </c>
      <c r="AO7" s="8">
        <f t="shared" ca="1" si="5"/>
        <v>0</v>
      </c>
      <c r="AP7" s="8">
        <f t="shared" ca="1" si="5"/>
        <v>0</v>
      </c>
      <c r="AQ7" s="8">
        <f t="shared" ca="1" si="5"/>
        <v>0</v>
      </c>
      <c r="AR7" s="8">
        <f t="shared" ca="1" si="5"/>
        <v>0</v>
      </c>
      <c r="AS7" s="8">
        <f t="shared" ca="1" si="6"/>
        <v>0</v>
      </c>
      <c r="AT7" s="8">
        <f t="shared" ca="1" si="6"/>
        <v>0</v>
      </c>
      <c r="AU7" s="8">
        <f t="shared" ca="1" si="6"/>
        <v>0</v>
      </c>
      <c r="AV7" s="8">
        <f t="shared" ca="1" si="6"/>
        <v>0</v>
      </c>
      <c r="AW7" s="8">
        <f t="shared" ca="1" si="6"/>
        <v>0</v>
      </c>
      <c r="AX7" s="8">
        <f t="shared" ca="1" si="6"/>
        <v>0</v>
      </c>
      <c r="AY7" s="8">
        <f t="shared" ca="1" si="6"/>
        <v>0</v>
      </c>
      <c r="AZ7" s="8">
        <f t="shared" ca="1" si="6"/>
        <v>0</v>
      </c>
      <c r="BA7" s="8">
        <f t="shared" ca="1" si="6"/>
        <v>0</v>
      </c>
      <c r="BB7" s="8">
        <f t="shared" ca="1" si="6"/>
        <v>0</v>
      </c>
      <c r="BC7" s="8">
        <f t="shared" ca="1" si="6"/>
        <v>0</v>
      </c>
      <c r="BD7" s="8">
        <f t="shared" ca="1" si="6"/>
        <v>0</v>
      </c>
      <c r="BE7" s="8">
        <f t="shared" ca="1" si="6"/>
        <v>0</v>
      </c>
      <c r="BF7" s="8">
        <f t="shared" ca="1" si="6"/>
        <v>0</v>
      </c>
      <c r="BG7" s="8">
        <f t="shared" ca="1" si="6"/>
        <v>0</v>
      </c>
      <c r="BH7" s="8">
        <f t="shared" ca="1" si="6"/>
        <v>0</v>
      </c>
      <c r="BI7" s="8">
        <f t="shared" ca="1" si="7"/>
        <v>0</v>
      </c>
      <c r="BJ7" s="8">
        <f t="shared" ca="1" si="7"/>
        <v>0</v>
      </c>
      <c r="BK7" s="8">
        <f t="shared" ca="1" si="7"/>
        <v>0</v>
      </c>
      <c r="BL7" s="8">
        <f t="shared" ca="1" si="7"/>
        <v>0</v>
      </c>
      <c r="BM7" s="8">
        <f t="shared" ca="1" si="7"/>
        <v>0</v>
      </c>
      <c r="BN7" s="8">
        <f t="shared" ca="1" si="7"/>
        <v>0</v>
      </c>
      <c r="BO7" s="8">
        <f t="shared" ca="1" si="7"/>
        <v>0</v>
      </c>
      <c r="BP7" s="8">
        <f t="shared" ca="1" si="7"/>
        <v>0</v>
      </c>
      <c r="BQ7" s="8">
        <f t="shared" ca="1" si="7"/>
        <v>0</v>
      </c>
      <c r="BR7" s="8">
        <f t="shared" ca="1" si="7"/>
        <v>0</v>
      </c>
      <c r="BS7" s="8">
        <f t="shared" ca="1" si="7"/>
        <v>0</v>
      </c>
      <c r="BT7" s="8">
        <f t="shared" ca="1" si="7"/>
        <v>0</v>
      </c>
      <c r="BU7" s="8">
        <f t="shared" ca="1" si="7"/>
        <v>0</v>
      </c>
      <c r="BV7" s="8">
        <f t="shared" ca="1" si="7"/>
        <v>0</v>
      </c>
      <c r="BW7" s="8">
        <f t="shared" ca="1" si="7"/>
        <v>0</v>
      </c>
      <c r="BX7" s="8">
        <f t="shared" ca="1" si="7"/>
        <v>0</v>
      </c>
      <c r="BY7" s="8">
        <f t="shared" ca="1" si="8"/>
        <v>0</v>
      </c>
      <c r="BZ7" s="8">
        <f t="shared" ca="1" si="8"/>
        <v>0</v>
      </c>
      <c r="CA7" s="8">
        <f t="shared" ca="1" si="8"/>
        <v>0</v>
      </c>
      <c r="CB7" s="8">
        <f t="shared" ca="1" si="8"/>
        <v>0</v>
      </c>
      <c r="CC7" s="8">
        <f t="shared" ca="1" si="8"/>
        <v>0</v>
      </c>
      <c r="CD7" s="8">
        <f t="shared" ca="1" si="8"/>
        <v>0</v>
      </c>
      <c r="CE7" s="8">
        <f t="shared" ca="1" si="8"/>
        <v>0</v>
      </c>
      <c r="CF7" s="8">
        <f t="shared" ca="1" si="8"/>
        <v>0</v>
      </c>
      <c r="CG7" s="8">
        <f t="shared" ca="1" si="8"/>
        <v>0</v>
      </c>
      <c r="CH7" s="8">
        <f t="shared" ca="1" si="8"/>
        <v>0</v>
      </c>
      <c r="CI7" s="8">
        <f t="shared" ca="1" si="8"/>
        <v>0</v>
      </c>
      <c r="CJ7" s="8">
        <f t="shared" ca="1" si="8"/>
        <v>0</v>
      </c>
      <c r="CK7" s="29">
        <f t="shared" ca="1" si="8"/>
        <v>0</v>
      </c>
      <c r="CN7" s="8">
        <v>2</v>
      </c>
      <c r="CO7" s="16">
        <v>0.05</v>
      </c>
      <c r="CP7" s="16">
        <v>-2.0723561449710215E-2</v>
      </c>
      <c r="CQ7" s="16">
        <v>2.7458724613613566E-3</v>
      </c>
      <c r="CR7" s="16">
        <v>3.4643028180811105E-3</v>
      </c>
      <c r="CS7" s="16">
        <f t="shared" si="14"/>
        <v>3.5486613829732255E-2</v>
      </c>
      <c r="EC7" s="8">
        <f ca="1"/>
        <v>1.4264999999999998E-2</v>
      </c>
      <c r="ED7" s="8">
        <f ca="1"/>
        <v>1.4190000000000001E-2</v>
      </c>
      <c r="EE7" s="8">
        <f ca="1"/>
        <v>1.4339999999999999E-2</v>
      </c>
    </row>
    <row r="8" spans="1:135" x14ac:dyDescent="0.45">
      <c r="A8" s="7">
        <f ca="1"/>
        <v>1.5</v>
      </c>
      <c r="B8" s="57">
        <f ca="1"/>
        <v>3.8500000000000001E-3</v>
      </c>
      <c r="C8" s="17">
        <f ca="1"/>
        <v>98.362499999999997</v>
      </c>
      <c r="D8" s="17">
        <f t="shared" ca="1" si="0"/>
        <v>98.514089839826696</v>
      </c>
      <c r="E8" s="17">
        <f t="shared" ca="1" si="9"/>
        <v>0.15158983982669838</v>
      </c>
      <c r="F8" s="17">
        <f t="shared" ca="1" si="1"/>
        <v>0.15158983982669838</v>
      </c>
      <c r="G8" s="18">
        <f t="shared" ca="1" si="10"/>
        <v>9.4113951978835875E-3</v>
      </c>
      <c r="H8" s="18">
        <f ca="1">IFERROR(IRR((J8,L8:CK8),0),0)</f>
        <v>8.8913722926895478E-3</v>
      </c>
      <c r="I8" s="52">
        <f t="shared" ca="1" si="2"/>
        <v>-5.2002290519403971E-4</v>
      </c>
      <c r="J8" s="17">
        <f t="shared" ca="1" si="13"/>
        <v>-98.514089839826696</v>
      </c>
      <c r="K8" s="28">
        <f t="shared" ca="1" si="3"/>
        <v>-98.362499999999997</v>
      </c>
      <c r="L8" s="8">
        <f t="shared" ca="1" si="11"/>
        <v>0.38500000000000001</v>
      </c>
      <c r="M8" s="8">
        <f t="shared" ca="1" si="11"/>
        <v>0.38500000000000001</v>
      </c>
      <c r="N8" s="8">
        <f t="shared" ca="1" si="11"/>
        <v>100.38499999999999</v>
      </c>
      <c r="O8" s="8">
        <f t="shared" ca="1" si="11"/>
        <v>0</v>
      </c>
      <c r="P8" s="8">
        <f t="shared" ca="1" si="11"/>
        <v>0</v>
      </c>
      <c r="Q8" s="8">
        <f t="shared" ca="1" si="11"/>
        <v>0</v>
      </c>
      <c r="R8" s="8">
        <f t="shared" ca="1" si="11"/>
        <v>0</v>
      </c>
      <c r="S8" s="8">
        <f t="shared" ca="1" si="11"/>
        <v>0</v>
      </c>
      <c r="T8" s="8">
        <f t="shared" ca="1" si="11"/>
        <v>0</v>
      </c>
      <c r="U8" s="8">
        <f t="shared" ca="1" si="11"/>
        <v>0</v>
      </c>
      <c r="V8" s="8">
        <f t="shared" ca="1" si="4"/>
        <v>0</v>
      </c>
      <c r="W8" s="8">
        <f t="shared" ca="1" si="4"/>
        <v>0</v>
      </c>
      <c r="X8" s="8">
        <f t="shared" ca="1" si="4"/>
        <v>0</v>
      </c>
      <c r="Y8" s="8">
        <f t="shared" ca="1" si="4"/>
        <v>0</v>
      </c>
      <c r="Z8" s="8">
        <f t="shared" ca="1" si="4"/>
        <v>0</v>
      </c>
      <c r="AA8" s="8">
        <f t="shared" ca="1" si="4"/>
        <v>0</v>
      </c>
      <c r="AB8" s="8">
        <f t="shared" ca="1" si="4"/>
        <v>0</v>
      </c>
      <c r="AC8" s="8">
        <f t="shared" ca="1" si="5"/>
        <v>0</v>
      </c>
      <c r="AD8" s="8">
        <f t="shared" ca="1" si="5"/>
        <v>0</v>
      </c>
      <c r="AE8" s="8">
        <f t="shared" ca="1" si="5"/>
        <v>0</v>
      </c>
      <c r="AF8" s="8">
        <f t="shared" ca="1" si="5"/>
        <v>0</v>
      </c>
      <c r="AG8" s="8">
        <f t="shared" ca="1" si="5"/>
        <v>0</v>
      </c>
      <c r="AH8" s="8">
        <f t="shared" ca="1" si="5"/>
        <v>0</v>
      </c>
      <c r="AI8" s="8">
        <f t="shared" ca="1" si="5"/>
        <v>0</v>
      </c>
      <c r="AJ8" s="8">
        <f t="shared" ca="1" si="5"/>
        <v>0</v>
      </c>
      <c r="AK8" s="8">
        <f t="shared" ca="1" si="5"/>
        <v>0</v>
      </c>
      <c r="AL8" s="8">
        <f t="shared" ca="1" si="5"/>
        <v>0</v>
      </c>
      <c r="AM8" s="8">
        <f t="shared" ca="1" si="5"/>
        <v>0</v>
      </c>
      <c r="AN8" s="8">
        <f t="shared" ca="1" si="5"/>
        <v>0</v>
      </c>
      <c r="AO8" s="8">
        <f t="shared" ca="1" si="5"/>
        <v>0</v>
      </c>
      <c r="AP8" s="8">
        <f t="shared" ca="1" si="5"/>
        <v>0</v>
      </c>
      <c r="AQ8" s="8">
        <f t="shared" ca="1" si="5"/>
        <v>0</v>
      </c>
      <c r="AR8" s="8">
        <f t="shared" ca="1" si="5"/>
        <v>0</v>
      </c>
      <c r="AS8" s="8">
        <f t="shared" ca="1" si="6"/>
        <v>0</v>
      </c>
      <c r="AT8" s="8">
        <f t="shared" ca="1" si="6"/>
        <v>0</v>
      </c>
      <c r="AU8" s="8">
        <f t="shared" ca="1" si="6"/>
        <v>0</v>
      </c>
      <c r="AV8" s="8">
        <f t="shared" ca="1" si="6"/>
        <v>0</v>
      </c>
      <c r="AW8" s="8">
        <f t="shared" ca="1" si="6"/>
        <v>0</v>
      </c>
      <c r="AX8" s="8">
        <f t="shared" ca="1" si="6"/>
        <v>0</v>
      </c>
      <c r="AY8" s="8">
        <f t="shared" ca="1" si="6"/>
        <v>0</v>
      </c>
      <c r="AZ8" s="8">
        <f t="shared" ca="1" si="6"/>
        <v>0</v>
      </c>
      <c r="BA8" s="8">
        <f t="shared" ca="1" si="6"/>
        <v>0</v>
      </c>
      <c r="BB8" s="8">
        <f t="shared" ca="1" si="6"/>
        <v>0</v>
      </c>
      <c r="BC8" s="8">
        <f t="shared" ca="1" si="6"/>
        <v>0</v>
      </c>
      <c r="BD8" s="8">
        <f t="shared" ca="1" si="6"/>
        <v>0</v>
      </c>
      <c r="BE8" s="8">
        <f t="shared" ca="1" si="6"/>
        <v>0</v>
      </c>
      <c r="BF8" s="8">
        <f t="shared" ca="1" si="6"/>
        <v>0</v>
      </c>
      <c r="BG8" s="8">
        <f t="shared" ca="1" si="6"/>
        <v>0</v>
      </c>
      <c r="BH8" s="8">
        <f t="shared" ca="1" si="6"/>
        <v>0</v>
      </c>
      <c r="BI8" s="8">
        <f t="shared" ca="1" si="7"/>
        <v>0</v>
      </c>
      <c r="BJ8" s="8">
        <f t="shared" ca="1" si="7"/>
        <v>0</v>
      </c>
      <c r="BK8" s="8">
        <f t="shared" ca="1" si="7"/>
        <v>0</v>
      </c>
      <c r="BL8" s="8">
        <f t="shared" ca="1" si="7"/>
        <v>0</v>
      </c>
      <c r="BM8" s="8">
        <f t="shared" ca="1" si="7"/>
        <v>0</v>
      </c>
      <c r="BN8" s="8">
        <f t="shared" ca="1" si="7"/>
        <v>0</v>
      </c>
      <c r="BO8" s="8">
        <f t="shared" ca="1" si="7"/>
        <v>0</v>
      </c>
      <c r="BP8" s="8">
        <f t="shared" ca="1" si="7"/>
        <v>0</v>
      </c>
      <c r="BQ8" s="8">
        <f t="shared" ca="1" si="7"/>
        <v>0</v>
      </c>
      <c r="BR8" s="8">
        <f t="shared" ca="1" si="7"/>
        <v>0</v>
      </c>
      <c r="BS8" s="8">
        <f t="shared" ca="1" si="7"/>
        <v>0</v>
      </c>
      <c r="BT8" s="8">
        <f t="shared" ca="1" si="7"/>
        <v>0</v>
      </c>
      <c r="BU8" s="8">
        <f t="shared" ca="1" si="7"/>
        <v>0</v>
      </c>
      <c r="BV8" s="8">
        <f t="shared" ca="1" si="7"/>
        <v>0</v>
      </c>
      <c r="BW8" s="8">
        <f t="shared" ca="1" si="7"/>
        <v>0</v>
      </c>
      <c r="BX8" s="8">
        <f t="shared" ca="1" si="7"/>
        <v>0</v>
      </c>
      <c r="BY8" s="8">
        <f t="shared" ca="1" si="8"/>
        <v>0</v>
      </c>
      <c r="BZ8" s="8">
        <f t="shared" ca="1" si="8"/>
        <v>0</v>
      </c>
      <c r="CA8" s="8">
        <f t="shared" ca="1" si="8"/>
        <v>0</v>
      </c>
      <c r="CB8" s="8">
        <f t="shared" ca="1" si="8"/>
        <v>0</v>
      </c>
      <c r="CC8" s="8">
        <f t="shared" ca="1" si="8"/>
        <v>0</v>
      </c>
      <c r="CD8" s="8">
        <f t="shared" ca="1" si="8"/>
        <v>0</v>
      </c>
      <c r="CE8" s="8">
        <f t="shared" ca="1" si="8"/>
        <v>0</v>
      </c>
      <c r="CF8" s="8">
        <f t="shared" ca="1" si="8"/>
        <v>0</v>
      </c>
      <c r="CG8" s="8">
        <f t="shared" ca="1" si="8"/>
        <v>0</v>
      </c>
      <c r="CH8" s="8">
        <f t="shared" ca="1" si="8"/>
        <v>0</v>
      </c>
      <c r="CI8" s="8">
        <f t="shared" ca="1" si="8"/>
        <v>0</v>
      </c>
      <c r="CJ8" s="8">
        <f t="shared" ca="1" si="8"/>
        <v>0</v>
      </c>
      <c r="CK8" s="29">
        <f t="shared" ca="1" si="8"/>
        <v>0</v>
      </c>
      <c r="CN8" s="8">
        <v>2.5</v>
      </c>
      <c r="CO8" s="16">
        <v>0.05</v>
      </c>
      <c r="CP8" s="16">
        <v>-2.0440030921271765E-2</v>
      </c>
      <c r="CQ8" s="16">
        <v>3.3692094041413469E-3</v>
      </c>
      <c r="CR8" s="16">
        <v>4.2949132456181595E-3</v>
      </c>
      <c r="CS8" s="16">
        <f t="shared" si="14"/>
        <v>3.7224091728487743E-2</v>
      </c>
      <c r="EC8" s="8">
        <f ca="1"/>
        <v>1.4255E-2</v>
      </c>
      <c r="ED8" s="8">
        <f ca="1"/>
        <v>1.418E-2</v>
      </c>
      <c r="EE8" s="8">
        <f ca="1"/>
        <v>1.4330000000000001E-2</v>
      </c>
    </row>
    <row r="9" spans="1:135" x14ac:dyDescent="0.45">
      <c r="A9" s="7">
        <f ca="1"/>
        <v>1.5</v>
      </c>
      <c r="B9" s="57">
        <f ca="1"/>
        <v>2.65E-3</v>
      </c>
      <c r="C9" s="17">
        <f ca="1"/>
        <v>98.171999999999997</v>
      </c>
      <c r="D9" s="17">
        <f t="shared" ca="1" si="0"/>
        <v>98.160224150025655</v>
      </c>
      <c r="E9" s="17">
        <f t="shared" ca="1" si="9"/>
        <v>-1.1775849974341668E-2</v>
      </c>
      <c r="F9" s="17">
        <f t="shared" ca="1" si="1"/>
        <v>1.1775849974341668E-2</v>
      </c>
      <c r="G9" s="18">
        <f t="shared" ca="1" si="10"/>
        <v>8.8515207343249358E-3</v>
      </c>
      <c r="H9" s="18">
        <f ca="1">IFERROR(IRR((J9,L9:CK9),0),0)</f>
        <v>8.8919695295983647E-3</v>
      </c>
      <c r="I9" s="52">
        <f t="shared" ca="1" si="2"/>
        <v>4.0448795273428928E-5</v>
      </c>
      <c r="J9" s="17">
        <f t="shared" ca="1" si="13"/>
        <v>-98.160224150025655</v>
      </c>
      <c r="K9" s="28">
        <f t="shared" ca="1" si="3"/>
        <v>-98.171999999999997</v>
      </c>
      <c r="L9" s="8">
        <f t="shared" ca="1" si="11"/>
        <v>0.26500000000000001</v>
      </c>
      <c r="M9" s="8">
        <f t="shared" ca="1" si="11"/>
        <v>0.26500000000000001</v>
      </c>
      <c r="N9" s="8">
        <f t="shared" ca="1" si="11"/>
        <v>100.265</v>
      </c>
      <c r="O9" s="8">
        <f t="shared" ca="1" si="11"/>
        <v>0</v>
      </c>
      <c r="P9" s="8">
        <f t="shared" ca="1" si="11"/>
        <v>0</v>
      </c>
      <c r="Q9" s="8">
        <f t="shared" ca="1" si="11"/>
        <v>0</v>
      </c>
      <c r="R9" s="8">
        <f t="shared" ca="1" si="11"/>
        <v>0</v>
      </c>
      <c r="S9" s="8">
        <f t="shared" ca="1" si="11"/>
        <v>0</v>
      </c>
      <c r="T9" s="8">
        <f t="shared" ca="1" si="11"/>
        <v>0</v>
      </c>
      <c r="U9" s="8">
        <f t="shared" ca="1" si="11"/>
        <v>0</v>
      </c>
      <c r="V9" s="8">
        <f t="shared" ca="1" si="4"/>
        <v>0</v>
      </c>
      <c r="W9" s="8">
        <f t="shared" ca="1" si="4"/>
        <v>0</v>
      </c>
      <c r="X9" s="8">
        <f t="shared" ca="1" si="4"/>
        <v>0</v>
      </c>
      <c r="Y9" s="8">
        <f t="shared" ca="1" si="4"/>
        <v>0</v>
      </c>
      <c r="Z9" s="8">
        <f t="shared" ca="1" si="4"/>
        <v>0</v>
      </c>
      <c r="AA9" s="8">
        <f t="shared" ca="1" si="4"/>
        <v>0</v>
      </c>
      <c r="AB9" s="8">
        <f t="shared" ca="1" si="4"/>
        <v>0</v>
      </c>
      <c r="AC9" s="8">
        <f t="shared" ca="1" si="5"/>
        <v>0</v>
      </c>
      <c r="AD9" s="8">
        <f t="shared" ca="1" si="5"/>
        <v>0</v>
      </c>
      <c r="AE9" s="8">
        <f t="shared" ca="1" si="5"/>
        <v>0</v>
      </c>
      <c r="AF9" s="8">
        <f t="shared" ca="1" si="5"/>
        <v>0</v>
      </c>
      <c r="AG9" s="8">
        <f t="shared" ca="1" si="5"/>
        <v>0</v>
      </c>
      <c r="AH9" s="8">
        <f t="shared" ca="1" si="5"/>
        <v>0</v>
      </c>
      <c r="AI9" s="8">
        <f t="shared" ca="1" si="5"/>
        <v>0</v>
      </c>
      <c r="AJ9" s="8">
        <f t="shared" ca="1" si="5"/>
        <v>0</v>
      </c>
      <c r="AK9" s="8">
        <f t="shared" ca="1" si="5"/>
        <v>0</v>
      </c>
      <c r="AL9" s="8">
        <f t="shared" ca="1" si="5"/>
        <v>0</v>
      </c>
      <c r="AM9" s="8">
        <f t="shared" ca="1" si="5"/>
        <v>0</v>
      </c>
      <c r="AN9" s="8">
        <f t="shared" ca="1" si="5"/>
        <v>0</v>
      </c>
      <c r="AO9" s="8">
        <f t="shared" ca="1" si="5"/>
        <v>0</v>
      </c>
      <c r="AP9" s="8">
        <f t="shared" ca="1" si="5"/>
        <v>0</v>
      </c>
      <c r="AQ9" s="8">
        <f t="shared" ca="1" si="5"/>
        <v>0</v>
      </c>
      <c r="AR9" s="8">
        <f t="shared" ca="1" si="5"/>
        <v>0</v>
      </c>
      <c r="AS9" s="8">
        <f t="shared" ca="1" si="6"/>
        <v>0</v>
      </c>
      <c r="AT9" s="8">
        <f t="shared" ca="1" si="6"/>
        <v>0</v>
      </c>
      <c r="AU9" s="8">
        <f t="shared" ca="1" si="6"/>
        <v>0</v>
      </c>
      <c r="AV9" s="8">
        <f t="shared" ca="1" si="6"/>
        <v>0</v>
      </c>
      <c r="AW9" s="8">
        <f t="shared" ca="1" si="6"/>
        <v>0</v>
      </c>
      <c r="AX9" s="8">
        <f t="shared" ca="1" si="6"/>
        <v>0</v>
      </c>
      <c r="AY9" s="8">
        <f t="shared" ca="1" si="6"/>
        <v>0</v>
      </c>
      <c r="AZ9" s="8">
        <f t="shared" ca="1" si="6"/>
        <v>0</v>
      </c>
      <c r="BA9" s="8">
        <f t="shared" ca="1" si="6"/>
        <v>0</v>
      </c>
      <c r="BB9" s="8">
        <f t="shared" ca="1" si="6"/>
        <v>0</v>
      </c>
      <c r="BC9" s="8">
        <f t="shared" ca="1" si="6"/>
        <v>0</v>
      </c>
      <c r="BD9" s="8">
        <f t="shared" ca="1" si="6"/>
        <v>0</v>
      </c>
      <c r="BE9" s="8">
        <f t="shared" ca="1" si="6"/>
        <v>0</v>
      </c>
      <c r="BF9" s="8">
        <f t="shared" ca="1" si="6"/>
        <v>0</v>
      </c>
      <c r="BG9" s="8">
        <f t="shared" ca="1" si="6"/>
        <v>0</v>
      </c>
      <c r="BH9" s="8">
        <f t="shared" ca="1" si="6"/>
        <v>0</v>
      </c>
      <c r="BI9" s="8">
        <f t="shared" ca="1" si="7"/>
        <v>0</v>
      </c>
      <c r="BJ9" s="8">
        <f t="shared" ca="1" si="7"/>
        <v>0</v>
      </c>
      <c r="BK9" s="8">
        <f t="shared" ca="1" si="7"/>
        <v>0</v>
      </c>
      <c r="BL9" s="8">
        <f t="shared" ca="1" si="7"/>
        <v>0</v>
      </c>
      <c r="BM9" s="8">
        <f t="shared" ca="1" si="7"/>
        <v>0</v>
      </c>
      <c r="BN9" s="8">
        <f t="shared" ca="1" si="7"/>
        <v>0</v>
      </c>
      <c r="BO9" s="8">
        <f t="shared" ca="1" si="7"/>
        <v>0</v>
      </c>
      <c r="BP9" s="8">
        <f t="shared" ca="1" si="7"/>
        <v>0</v>
      </c>
      <c r="BQ9" s="8">
        <f t="shared" ca="1" si="7"/>
        <v>0</v>
      </c>
      <c r="BR9" s="8">
        <f t="shared" ca="1" si="7"/>
        <v>0</v>
      </c>
      <c r="BS9" s="8">
        <f t="shared" ca="1" si="7"/>
        <v>0</v>
      </c>
      <c r="BT9" s="8">
        <f t="shared" ca="1" si="7"/>
        <v>0</v>
      </c>
      <c r="BU9" s="8">
        <f t="shared" ca="1" si="7"/>
        <v>0</v>
      </c>
      <c r="BV9" s="8">
        <f t="shared" ca="1" si="7"/>
        <v>0</v>
      </c>
      <c r="BW9" s="8">
        <f t="shared" ca="1" si="7"/>
        <v>0</v>
      </c>
      <c r="BX9" s="8">
        <f t="shared" ca="1" si="7"/>
        <v>0</v>
      </c>
      <c r="BY9" s="8">
        <f t="shared" ca="1" si="8"/>
        <v>0</v>
      </c>
      <c r="BZ9" s="8">
        <f t="shared" ca="1" si="8"/>
        <v>0</v>
      </c>
      <c r="CA9" s="8">
        <f t="shared" ca="1" si="8"/>
        <v>0</v>
      </c>
      <c r="CB9" s="8">
        <f t="shared" ca="1" si="8"/>
        <v>0</v>
      </c>
      <c r="CC9" s="8">
        <f t="shared" ca="1" si="8"/>
        <v>0</v>
      </c>
      <c r="CD9" s="8">
        <f t="shared" ca="1" si="8"/>
        <v>0</v>
      </c>
      <c r="CE9" s="8">
        <f t="shared" ca="1" si="8"/>
        <v>0</v>
      </c>
      <c r="CF9" s="8">
        <f t="shared" ca="1" si="8"/>
        <v>0</v>
      </c>
      <c r="CG9" s="8">
        <f t="shared" ca="1" si="8"/>
        <v>0</v>
      </c>
      <c r="CH9" s="8">
        <f t="shared" ca="1" si="8"/>
        <v>0</v>
      </c>
      <c r="CI9" s="8">
        <f t="shared" ca="1" si="8"/>
        <v>0</v>
      </c>
      <c r="CJ9" s="8">
        <f t="shared" ca="1" si="8"/>
        <v>0</v>
      </c>
      <c r="CK9" s="29">
        <f t="shared" ca="1" si="8"/>
        <v>0</v>
      </c>
      <c r="CN9" s="8">
        <v>3</v>
      </c>
      <c r="CO9" s="16">
        <v>0.05</v>
      </c>
      <c r="CP9" s="16">
        <v>-2.0161709166404588E-2</v>
      </c>
      <c r="CQ9" s="16">
        <v>3.9688651733721832E-3</v>
      </c>
      <c r="CR9" s="16">
        <v>5.111730085021679E-3</v>
      </c>
      <c r="CS9" s="16">
        <f t="shared" si="14"/>
        <v>3.8918886091989277E-2</v>
      </c>
      <c r="EC9" s="8">
        <f ca="1"/>
        <v>1.4870000000000001E-2</v>
      </c>
      <c r="ED9" s="8">
        <f ca="1"/>
        <v>1.4870000000000001E-2</v>
      </c>
      <c r="EE9" s="8">
        <f ca="1"/>
        <v>1.4870000000000001E-2</v>
      </c>
    </row>
    <row r="10" spans="1:135" x14ac:dyDescent="0.45">
      <c r="A10" s="7">
        <f ca="1"/>
        <v>2</v>
      </c>
      <c r="B10" s="57">
        <f ca="1"/>
        <v>3.3E-3</v>
      </c>
      <c r="C10" s="17">
        <f ca="1"/>
        <v>97.513999999999996</v>
      </c>
      <c r="D10" s="17">
        <f t="shared" ca="1" si="0"/>
        <v>97.634058259473946</v>
      </c>
      <c r="E10" s="17">
        <f t="shared" ca="1" si="9"/>
        <v>0.1200582594739501</v>
      </c>
      <c r="F10" s="17">
        <f t="shared" ca="1" si="1"/>
        <v>0.1200582594739501</v>
      </c>
      <c r="G10" s="18">
        <f t="shared" ca="1" si="10"/>
        <v>9.6659063478032881E-3</v>
      </c>
      <c r="H10" s="18">
        <f ca="1">IFERROR(IRR((J10,L10:CK10),0),0)</f>
        <v>9.3538143441411759E-3</v>
      </c>
      <c r="I10" s="52">
        <f t="shared" ca="1" si="2"/>
        <v>-3.1209200366211221E-4</v>
      </c>
      <c r="J10" s="17">
        <f t="shared" ca="1" si="13"/>
        <v>-97.634058259473946</v>
      </c>
      <c r="K10" s="28">
        <f t="shared" ca="1" si="3"/>
        <v>-97.513999999999996</v>
      </c>
      <c r="L10" s="8">
        <f t="shared" ca="1" si="11"/>
        <v>0.33</v>
      </c>
      <c r="M10" s="8">
        <f t="shared" ca="1" si="11"/>
        <v>0.33</v>
      </c>
      <c r="N10" s="8">
        <f t="shared" ca="1" si="11"/>
        <v>0.33</v>
      </c>
      <c r="O10" s="8">
        <f t="shared" ca="1" si="11"/>
        <v>100.33000000000001</v>
      </c>
      <c r="P10" s="8">
        <f t="shared" ca="1" si="11"/>
        <v>0</v>
      </c>
      <c r="Q10" s="8">
        <f t="shared" ca="1" si="11"/>
        <v>0</v>
      </c>
      <c r="R10" s="8">
        <f t="shared" ca="1" si="11"/>
        <v>0</v>
      </c>
      <c r="S10" s="8">
        <f t="shared" ca="1" si="11"/>
        <v>0</v>
      </c>
      <c r="T10" s="8">
        <f t="shared" ca="1" si="11"/>
        <v>0</v>
      </c>
      <c r="U10" s="8">
        <f t="shared" ca="1" si="11"/>
        <v>0</v>
      </c>
      <c r="V10" s="8">
        <f t="shared" ca="1" si="4"/>
        <v>0</v>
      </c>
      <c r="W10" s="8">
        <f t="shared" ca="1" si="4"/>
        <v>0</v>
      </c>
      <c r="X10" s="8">
        <f t="shared" ca="1" si="4"/>
        <v>0</v>
      </c>
      <c r="Y10" s="8">
        <f t="shared" ca="1" si="4"/>
        <v>0</v>
      </c>
      <c r="Z10" s="8">
        <f t="shared" ca="1" si="4"/>
        <v>0</v>
      </c>
      <c r="AA10" s="8">
        <f t="shared" ca="1" si="4"/>
        <v>0</v>
      </c>
      <c r="AB10" s="8">
        <f t="shared" ca="1" si="4"/>
        <v>0</v>
      </c>
      <c r="AC10" s="8">
        <f t="shared" ca="1" si="5"/>
        <v>0</v>
      </c>
      <c r="AD10" s="8">
        <f t="shared" ca="1" si="5"/>
        <v>0</v>
      </c>
      <c r="AE10" s="8">
        <f t="shared" ca="1" si="5"/>
        <v>0</v>
      </c>
      <c r="AF10" s="8">
        <f t="shared" ca="1" si="5"/>
        <v>0</v>
      </c>
      <c r="AG10" s="8">
        <f t="shared" ca="1" si="5"/>
        <v>0</v>
      </c>
      <c r="AH10" s="8">
        <f t="shared" ca="1" si="5"/>
        <v>0</v>
      </c>
      <c r="AI10" s="8">
        <f t="shared" ca="1" si="5"/>
        <v>0</v>
      </c>
      <c r="AJ10" s="8">
        <f t="shared" ca="1" si="5"/>
        <v>0</v>
      </c>
      <c r="AK10" s="8">
        <f t="shared" ca="1" si="5"/>
        <v>0</v>
      </c>
      <c r="AL10" s="8">
        <f t="shared" ca="1" si="5"/>
        <v>0</v>
      </c>
      <c r="AM10" s="8">
        <f t="shared" ca="1" si="5"/>
        <v>0</v>
      </c>
      <c r="AN10" s="8">
        <f t="shared" ca="1" si="5"/>
        <v>0</v>
      </c>
      <c r="AO10" s="8">
        <f t="shared" ca="1" si="5"/>
        <v>0</v>
      </c>
      <c r="AP10" s="8">
        <f t="shared" ca="1" si="5"/>
        <v>0</v>
      </c>
      <c r="AQ10" s="8">
        <f t="shared" ca="1" si="5"/>
        <v>0</v>
      </c>
      <c r="AR10" s="8">
        <f t="shared" ca="1" si="5"/>
        <v>0</v>
      </c>
      <c r="AS10" s="8">
        <f t="shared" ca="1" si="6"/>
        <v>0</v>
      </c>
      <c r="AT10" s="8">
        <f t="shared" ca="1" si="6"/>
        <v>0</v>
      </c>
      <c r="AU10" s="8">
        <f t="shared" ca="1" si="6"/>
        <v>0</v>
      </c>
      <c r="AV10" s="8">
        <f t="shared" ca="1" si="6"/>
        <v>0</v>
      </c>
      <c r="AW10" s="8">
        <f t="shared" ca="1" si="6"/>
        <v>0</v>
      </c>
      <c r="AX10" s="8">
        <f t="shared" ca="1" si="6"/>
        <v>0</v>
      </c>
      <c r="AY10" s="8">
        <f t="shared" ca="1" si="6"/>
        <v>0</v>
      </c>
      <c r="AZ10" s="8">
        <f t="shared" ca="1" si="6"/>
        <v>0</v>
      </c>
      <c r="BA10" s="8">
        <f t="shared" ca="1" si="6"/>
        <v>0</v>
      </c>
      <c r="BB10" s="8">
        <f t="shared" ca="1" si="6"/>
        <v>0</v>
      </c>
      <c r="BC10" s="8">
        <f t="shared" ca="1" si="6"/>
        <v>0</v>
      </c>
      <c r="BD10" s="8">
        <f t="shared" ca="1" si="6"/>
        <v>0</v>
      </c>
      <c r="BE10" s="8">
        <f t="shared" ca="1" si="6"/>
        <v>0</v>
      </c>
      <c r="BF10" s="8">
        <f t="shared" ca="1" si="6"/>
        <v>0</v>
      </c>
      <c r="BG10" s="8">
        <f t="shared" ca="1" si="6"/>
        <v>0</v>
      </c>
      <c r="BH10" s="8">
        <f t="shared" ca="1" si="6"/>
        <v>0</v>
      </c>
      <c r="BI10" s="8">
        <f t="shared" ca="1" si="7"/>
        <v>0</v>
      </c>
      <c r="BJ10" s="8">
        <f t="shared" ca="1" si="7"/>
        <v>0</v>
      </c>
      <c r="BK10" s="8">
        <f t="shared" ca="1" si="7"/>
        <v>0</v>
      </c>
      <c r="BL10" s="8">
        <f t="shared" ca="1" si="7"/>
        <v>0</v>
      </c>
      <c r="BM10" s="8">
        <f t="shared" ca="1" si="7"/>
        <v>0</v>
      </c>
      <c r="BN10" s="8">
        <f t="shared" ca="1" si="7"/>
        <v>0</v>
      </c>
      <c r="BO10" s="8">
        <f t="shared" ca="1" si="7"/>
        <v>0</v>
      </c>
      <c r="BP10" s="8">
        <f t="shared" ca="1" si="7"/>
        <v>0</v>
      </c>
      <c r="BQ10" s="8">
        <f t="shared" ca="1" si="7"/>
        <v>0</v>
      </c>
      <c r="BR10" s="8">
        <f t="shared" ca="1" si="7"/>
        <v>0</v>
      </c>
      <c r="BS10" s="8">
        <f t="shared" ca="1" si="7"/>
        <v>0</v>
      </c>
      <c r="BT10" s="8">
        <f t="shared" ca="1" si="7"/>
        <v>0</v>
      </c>
      <c r="BU10" s="8">
        <f t="shared" ca="1" si="7"/>
        <v>0</v>
      </c>
      <c r="BV10" s="8">
        <f t="shared" ca="1" si="7"/>
        <v>0</v>
      </c>
      <c r="BW10" s="8">
        <f t="shared" ca="1" si="7"/>
        <v>0</v>
      </c>
      <c r="BX10" s="8">
        <f t="shared" ca="1" si="7"/>
        <v>0</v>
      </c>
      <c r="BY10" s="8">
        <f t="shared" ca="1" si="8"/>
        <v>0</v>
      </c>
      <c r="BZ10" s="8">
        <f t="shared" ca="1" si="8"/>
        <v>0</v>
      </c>
      <c r="CA10" s="8">
        <f t="shared" ca="1" si="8"/>
        <v>0</v>
      </c>
      <c r="CB10" s="8">
        <f t="shared" ca="1" si="8"/>
        <v>0</v>
      </c>
      <c r="CC10" s="8">
        <f t="shared" ca="1" si="8"/>
        <v>0</v>
      </c>
      <c r="CD10" s="8">
        <f t="shared" ca="1" si="8"/>
        <v>0</v>
      </c>
      <c r="CE10" s="8">
        <f t="shared" ca="1" si="8"/>
        <v>0</v>
      </c>
      <c r="CF10" s="8">
        <f t="shared" ca="1" si="8"/>
        <v>0</v>
      </c>
      <c r="CG10" s="8">
        <f t="shared" ca="1" si="8"/>
        <v>0</v>
      </c>
      <c r="CH10" s="8">
        <f t="shared" ca="1" si="8"/>
        <v>0</v>
      </c>
      <c r="CI10" s="8">
        <f t="shared" ca="1" si="8"/>
        <v>0</v>
      </c>
      <c r="CJ10" s="8">
        <f t="shared" ca="1" si="8"/>
        <v>0</v>
      </c>
      <c r="CK10" s="29">
        <f t="shared" ca="1" si="8"/>
        <v>0</v>
      </c>
      <c r="CN10" s="8">
        <v>3.5</v>
      </c>
      <c r="CO10" s="16">
        <v>0.05</v>
      </c>
      <c r="CP10" s="16">
        <v>-1.9888488226564704E-2</v>
      </c>
      <c r="CQ10" s="16">
        <v>4.545584811649071E-3</v>
      </c>
      <c r="CR10" s="16">
        <v>5.9149450900181991E-3</v>
      </c>
      <c r="CS10" s="16">
        <f t="shared" si="14"/>
        <v>4.0572041675102567E-2</v>
      </c>
      <c r="EC10" s="8">
        <f ca="1"/>
        <v>1.5720000000000001E-2</v>
      </c>
      <c r="ED10" s="8">
        <f ca="1"/>
        <v>1.5650000000000001E-2</v>
      </c>
      <c r="EE10" s="8">
        <f ca="1"/>
        <v>1.5789999999999998E-2</v>
      </c>
    </row>
    <row r="11" spans="1:135" x14ac:dyDescent="0.45">
      <c r="A11" s="7">
        <f ca="1"/>
        <v>2.5</v>
      </c>
      <c r="B11" s="57">
        <f ca="1"/>
        <v>3.1900000000000001E-3</v>
      </c>
      <c r="C11" s="17">
        <f ca="1"/>
        <v>96.853999999999999</v>
      </c>
      <c r="D11" s="17">
        <f t="shared" ca="1" si="0"/>
        <v>96.789594065700271</v>
      </c>
      <c r="E11" s="17">
        <f t="shared" ca="1" si="9"/>
        <v>-6.4405934299728074E-2</v>
      </c>
      <c r="F11" s="17">
        <f t="shared" ca="1" si="1"/>
        <v>6.4405934299728074E-2</v>
      </c>
      <c r="G11" s="18">
        <f t="shared" ca="1" si="10"/>
        <v>9.665618166047496E-3</v>
      </c>
      <c r="H11" s="18">
        <f ca="1">IFERROR(IRR((J11,L11:CK11),0),0)</f>
        <v>9.8008271316949447E-3</v>
      </c>
      <c r="I11" s="52">
        <f t="shared" ca="1" si="2"/>
        <v>1.3520896564744866E-4</v>
      </c>
      <c r="J11" s="17">
        <f t="shared" ca="1" si="13"/>
        <v>-96.789594065700271</v>
      </c>
      <c r="K11" s="28">
        <f t="shared" ca="1" si="3"/>
        <v>-96.853999999999999</v>
      </c>
      <c r="L11" s="8">
        <f t="shared" ca="1" si="11"/>
        <v>0.31900000000000001</v>
      </c>
      <c r="M11" s="8">
        <f t="shared" ca="1" si="11"/>
        <v>0.31900000000000001</v>
      </c>
      <c r="N11" s="8">
        <f t="shared" ca="1" si="11"/>
        <v>0.31900000000000001</v>
      </c>
      <c r="O11" s="8">
        <f t="shared" ca="1" si="11"/>
        <v>0.31900000000000001</v>
      </c>
      <c r="P11" s="8">
        <f t="shared" ca="1" si="11"/>
        <v>100.319</v>
      </c>
      <c r="Q11" s="8">
        <f t="shared" ca="1" si="11"/>
        <v>0</v>
      </c>
      <c r="R11" s="8">
        <f t="shared" ca="1" si="11"/>
        <v>0</v>
      </c>
      <c r="S11" s="8">
        <f t="shared" ca="1" si="11"/>
        <v>0</v>
      </c>
      <c r="T11" s="8">
        <f t="shared" ca="1" si="11"/>
        <v>0</v>
      </c>
      <c r="U11" s="8">
        <f t="shared" ca="1" si="11"/>
        <v>0</v>
      </c>
      <c r="V11" s="8">
        <f t="shared" ca="1" si="4"/>
        <v>0</v>
      </c>
      <c r="W11" s="8">
        <f t="shared" ca="1" si="4"/>
        <v>0</v>
      </c>
      <c r="X11" s="8">
        <f t="shared" ca="1" si="4"/>
        <v>0</v>
      </c>
      <c r="Y11" s="8">
        <f t="shared" ca="1" si="4"/>
        <v>0</v>
      </c>
      <c r="Z11" s="8">
        <f t="shared" ca="1" si="4"/>
        <v>0</v>
      </c>
      <c r="AA11" s="8">
        <f t="shared" ca="1" si="4"/>
        <v>0</v>
      </c>
      <c r="AB11" s="8">
        <f t="shared" ca="1" si="4"/>
        <v>0</v>
      </c>
      <c r="AC11" s="8">
        <f t="shared" ca="1" si="5"/>
        <v>0</v>
      </c>
      <c r="AD11" s="8">
        <f t="shared" ca="1" si="5"/>
        <v>0</v>
      </c>
      <c r="AE11" s="8">
        <f t="shared" ca="1" si="5"/>
        <v>0</v>
      </c>
      <c r="AF11" s="8">
        <f t="shared" ca="1" si="5"/>
        <v>0</v>
      </c>
      <c r="AG11" s="8">
        <f t="shared" ca="1" si="5"/>
        <v>0</v>
      </c>
      <c r="AH11" s="8">
        <f t="shared" ca="1" si="5"/>
        <v>0</v>
      </c>
      <c r="AI11" s="8">
        <f t="shared" ca="1" si="5"/>
        <v>0</v>
      </c>
      <c r="AJ11" s="8">
        <f t="shared" ca="1" si="5"/>
        <v>0</v>
      </c>
      <c r="AK11" s="8">
        <f t="shared" ca="1" si="5"/>
        <v>0</v>
      </c>
      <c r="AL11" s="8">
        <f t="shared" ca="1" si="5"/>
        <v>0</v>
      </c>
      <c r="AM11" s="8">
        <f t="shared" ca="1" si="5"/>
        <v>0</v>
      </c>
      <c r="AN11" s="8">
        <f t="shared" ca="1" si="5"/>
        <v>0</v>
      </c>
      <c r="AO11" s="8">
        <f t="shared" ca="1" si="5"/>
        <v>0</v>
      </c>
      <c r="AP11" s="8">
        <f t="shared" ca="1" si="5"/>
        <v>0</v>
      </c>
      <c r="AQ11" s="8">
        <f t="shared" ca="1" si="5"/>
        <v>0</v>
      </c>
      <c r="AR11" s="8">
        <f t="shared" ca="1" si="5"/>
        <v>0</v>
      </c>
      <c r="AS11" s="8">
        <f t="shared" ca="1" si="6"/>
        <v>0</v>
      </c>
      <c r="AT11" s="8">
        <f t="shared" ca="1" si="6"/>
        <v>0</v>
      </c>
      <c r="AU11" s="8">
        <f t="shared" ca="1" si="6"/>
        <v>0</v>
      </c>
      <c r="AV11" s="8">
        <f t="shared" ca="1" si="6"/>
        <v>0</v>
      </c>
      <c r="AW11" s="8">
        <f t="shared" ca="1" si="6"/>
        <v>0</v>
      </c>
      <c r="AX11" s="8">
        <f t="shared" ca="1" si="6"/>
        <v>0</v>
      </c>
      <c r="AY11" s="8">
        <f t="shared" ca="1" si="6"/>
        <v>0</v>
      </c>
      <c r="AZ11" s="8">
        <f t="shared" ca="1" si="6"/>
        <v>0</v>
      </c>
      <c r="BA11" s="8">
        <f t="shared" ca="1" si="6"/>
        <v>0</v>
      </c>
      <c r="BB11" s="8">
        <f t="shared" ca="1" si="6"/>
        <v>0</v>
      </c>
      <c r="BC11" s="8">
        <f t="shared" ca="1" si="6"/>
        <v>0</v>
      </c>
      <c r="BD11" s="8">
        <f t="shared" ca="1" si="6"/>
        <v>0</v>
      </c>
      <c r="BE11" s="8">
        <f t="shared" ca="1" si="6"/>
        <v>0</v>
      </c>
      <c r="BF11" s="8">
        <f t="shared" ca="1" si="6"/>
        <v>0</v>
      </c>
      <c r="BG11" s="8">
        <f t="shared" ca="1" si="6"/>
        <v>0</v>
      </c>
      <c r="BH11" s="8">
        <f t="shared" ca="1" si="6"/>
        <v>0</v>
      </c>
      <c r="BI11" s="8">
        <f t="shared" ca="1" si="7"/>
        <v>0</v>
      </c>
      <c r="BJ11" s="8">
        <f t="shared" ca="1" si="7"/>
        <v>0</v>
      </c>
      <c r="BK11" s="8">
        <f t="shared" ca="1" si="7"/>
        <v>0</v>
      </c>
      <c r="BL11" s="8">
        <f t="shared" ca="1" si="7"/>
        <v>0</v>
      </c>
      <c r="BM11" s="8">
        <f t="shared" ca="1" si="7"/>
        <v>0</v>
      </c>
      <c r="BN11" s="8">
        <f t="shared" ca="1" si="7"/>
        <v>0</v>
      </c>
      <c r="BO11" s="8">
        <f t="shared" ca="1" si="7"/>
        <v>0</v>
      </c>
      <c r="BP11" s="8">
        <f t="shared" ca="1" si="7"/>
        <v>0</v>
      </c>
      <c r="BQ11" s="8">
        <f t="shared" ca="1" si="7"/>
        <v>0</v>
      </c>
      <c r="BR11" s="8">
        <f t="shared" ca="1" si="7"/>
        <v>0</v>
      </c>
      <c r="BS11" s="8">
        <f t="shared" ca="1" si="7"/>
        <v>0</v>
      </c>
      <c r="BT11" s="8">
        <f t="shared" ca="1" si="7"/>
        <v>0</v>
      </c>
      <c r="BU11" s="8">
        <f t="shared" ca="1" si="7"/>
        <v>0</v>
      </c>
      <c r="BV11" s="8">
        <f t="shared" ca="1" si="7"/>
        <v>0</v>
      </c>
      <c r="BW11" s="8">
        <f t="shared" ca="1" si="7"/>
        <v>0</v>
      </c>
      <c r="BX11" s="8">
        <f t="shared" ca="1" si="7"/>
        <v>0</v>
      </c>
      <c r="BY11" s="8">
        <f t="shared" ca="1" si="8"/>
        <v>0</v>
      </c>
      <c r="BZ11" s="8">
        <f t="shared" ca="1" si="8"/>
        <v>0</v>
      </c>
      <c r="CA11" s="8">
        <f t="shared" ca="1" si="8"/>
        <v>0</v>
      </c>
      <c r="CB11" s="8">
        <f t="shared" ca="1" si="8"/>
        <v>0</v>
      </c>
      <c r="CC11" s="8">
        <f t="shared" ca="1" si="8"/>
        <v>0</v>
      </c>
      <c r="CD11" s="8">
        <f t="shared" ca="1" si="8"/>
        <v>0</v>
      </c>
      <c r="CE11" s="8">
        <f t="shared" ca="1" si="8"/>
        <v>0</v>
      </c>
      <c r="CF11" s="8">
        <f t="shared" ca="1" si="8"/>
        <v>0</v>
      </c>
      <c r="CG11" s="8">
        <f t="shared" ca="1" si="8"/>
        <v>0</v>
      </c>
      <c r="CH11" s="8">
        <f t="shared" ca="1" si="8"/>
        <v>0</v>
      </c>
      <c r="CI11" s="8">
        <f t="shared" ca="1" si="8"/>
        <v>0</v>
      </c>
      <c r="CJ11" s="8">
        <f t="shared" ca="1" si="8"/>
        <v>0</v>
      </c>
      <c r="CK11" s="29">
        <f t="shared" ca="1" si="8"/>
        <v>0</v>
      </c>
      <c r="CN11" s="8">
        <v>4</v>
      </c>
      <c r="CO11" s="16">
        <v>0.05</v>
      </c>
      <c r="CP11" s="16">
        <v>-1.9620262533362142E-2</v>
      </c>
      <c r="CQ11" s="16">
        <v>5.1000912300812494E-3</v>
      </c>
      <c r="CR11" s="16">
        <v>6.704747491396274E-3</v>
      </c>
      <c r="CS11" s="16">
        <f t="shared" si="14"/>
        <v>4.2184576188115386E-2</v>
      </c>
      <c r="EC11" s="8">
        <f ca="1"/>
        <v>1.6590000000000001E-2</v>
      </c>
      <c r="ED11" s="8">
        <f ca="1"/>
        <v>1.653E-2</v>
      </c>
      <c r="EE11" s="8">
        <f ca="1"/>
        <v>1.6650000000000002E-2</v>
      </c>
    </row>
    <row r="12" spans="1:135" x14ac:dyDescent="0.45">
      <c r="A12" s="7">
        <f ca="1"/>
        <v>3</v>
      </c>
      <c r="B12" s="57">
        <f ca="1"/>
        <v>1.5E-3</v>
      </c>
      <c r="C12" s="17">
        <f ca="1"/>
        <v>95.417500000000004</v>
      </c>
      <c r="D12" s="17">
        <f t="shared" ca="1" si="0"/>
        <v>94.940492467039533</v>
      </c>
      <c r="E12" s="17">
        <f t="shared" ca="1" si="9"/>
        <v>-0.47700753296047083</v>
      </c>
      <c r="F12" s="17">
        <f t="shared" ca="1" si="1"/>
        <v>0.47700753296047083</v>
      </c>
      <c r="G12" s="18">
        <f t="shared" ca="1" si="10"/>
        <v>9.3904741652677259E-3</v>
      </c>
      <c r="H12" s="18">
        <f ca="1">IFERROR(IRR((J12,L12:CK12),0),0)</f>
        <v>1.0237215920397613E-2</v>
      </c>
      <c r="I12" s="52">
        <f t="shared" ca="1" si="2"/>
        <v>8.4674175512988725E-4</v>
      </c>
      <c r="J12" s="17">
        <f t="shared" ca="1" si="13"/>
        <v>-94.940492467039533</v>
      </c>
      <c r="K12" s="28">
        <f t="shared" ca="1" si="3"/>
        <v>-95.417500000000004</v>
      </c>
      <c r="L12" s="8">
        <f t="shared" ca="1" si="11"/>
        <v>0.15</v>
      </c>
      <c r="M12" s="8">
        <f t="shared" ca="1" si="11"/>
        <v>0.15</v>
      </c>
      <c r="N12" s="8">
        <f t="shared" ca="1" si="11"/>
        <v>0.15</v>
      </c>
      <c r="O12" s="8">
        <f t="shared" ca="1" si="11"/>
        <v>0.15</v>
      </c>
      <c r="P12" s="8">
        <f t="shared" ca="1" si="11"/>
        <v>0.15</v>
      </c>
      <c r="Q12" s="8">
        <f t="shared" ca="1" si="11"/>
        <v>100.15</v>
      </c>
      <c r="R12" s="8">
        <f t="shared" ca="1" si="11"/>
        <v>0</v>
      </c>
      <c r="S12" s="8">
        <f t="shared" ca="1" si="11"/>
        <v>0</v>
      </c>
      <c r="T12" s="8">
        <f t="shared" ca="1" si="11"/>
        <v>0</v>
      </c>
      <c r="U12" s="8">
        <f t="shared" ca="1" si="11"/>
        <v>0</v>
      </c>
      <c r="V12" s="8">
        <f t="shared" ca="1" si="4"/>
        <v>0</v>
      </c>
      <c r="W12" s="8">
        <f t="shared" ca="1" si="4"/>
        <v>0</v>
      </c>
      <c r="X12" s="8">
        <f t="shared" ca="1" si="4"/>
        <v>0</v>
      </c>
      <c r="Y12" s="8">
        <f t="shared" ca="1" si="4"/>
        <v>0</v>
      </c>
      <c r="Z12" s="8">
        <f t="shared" ca="1" si="4"/>
        <v>0</v>
      </c>
      <c r="AA12" s="8">
        <f t="shared" ca="1" si="4"/>
        <v>0</v>
      </c>
      <c r="AB12" s="8">
        <f t="shared" ca="1" si="4"/>
        <v>0</v>
      </c>
      <c r="AC12" s="8">
        <f t="shared" ca="1" si="5"/>
        <v>0</v>
      </c>
      <c r="AD12" s="8">
        <f t="shared" ca="1" si="5"/>
        <v>0</v>
      </c>
      <c r="AE12" s="8">
        <f t="shared" ca="1" si="5"/>
        <v>0</v>
      </c>
      <c r="AF12" s="8">
        <f t="shared" ca="1" si="5"/>
        <v>0</v>
      </c>
      <c r="AG12" s="8">
        <f t="shared" ca="1" si="5"/>
        <v>0</v>
      </c>
      <c r="AH12" s="8">
        <f t="shared" ca="1" si="5"/>
        <v>0</v>
      </c>
      <c r="AI12" s="8">
        <f t="shared" ca="1" si="5"/>
        <v>0</v>
      </c>
      <c r="AJ12" s="8">
        <f t="shared" ca="1" si="5"/>
        <v>0</v>
      </c>
      <c r="AK12" s="8">
        <f t="shared" ca="1" si="5"/>
        <v>0</v>
      </c>
      <c r="AL12" s="8">
        <f t="shared" ca="1" si="5"/>
        <v>0</v>
      </c>
      <c r="AM12" s="8">
        <f t="shared" ca="1" si="5"/>
        <v>0</v>
      </c>
      <c r="AN12" s="8">
        <f t="shared" ca="1" si="5"/>
        <v>0</v>
      </c>
      <c r="AO12" s="8">
        <f t="shared" ca="1" si="5"/>
        <v>0</v>
      </c>
      <c r="AP12" s="8">
        <f t="shared" ca="1" si="5"/>
        <v>0</v>
      </c>
      <c r="AQ12" s="8">
        <f t="shared" ca="1" si="5"/>
        <v>0</v>
      </c>
      <c r="AR12" s="8">
        <f t="shared" ca="1" si="5"/>
        <v>0</v>
      </c>
      <c r="AS12" s="8">
        <f t="shared" ca="1" si="6"/>
        <v>0</v>
      </c>
      <c r="AT12" s="8">
        <f t="shared" ca="1" si="6"/>
        <v>0</v>
      </c>
      <c r="AU12" s="8">
        <f t="shared" ca="1" si="6"/>
        <v>0</v>
      </c>
      <c r="AV12" s="8">
        <f t="shared" ca="1" si="6"/>
        <v>0</v>
      </c>
      <c r="AW12" s="8">
        <f t="shared" ca="1" si="6"/>
        <v>0</v>
      </c>
      <c r="AX12" s="8">
        <f t="shared" ca="1" si="6"/>
        <v>0</v>
      </c>
      <c r="AY12" s="8">
        <f t="shared" ca="1" si="6"/>
        <v>0</v>
      </c>
      <c r="AZ12" s="8">
        <f t="shared" ca="1" si="6"/>
        <v>0</v>
      </c>
      <c r="BA12" s="8">
        <f t="shared" ca="1" si="6"/>
        <v>0</v>
      </c>
      <c r="BB12" s="8">
        <f t="shared" ca="1" si="6"/>
        <v>0</v>
      </c>
      <c r="BC12" s="8">
        <f t="shared" ca="1" si="6"/>
        <v>0</v>
      </c>
      <c r="BD12" s="8">
        <f t="shared" ca="1" si="6"/>
        <v>0</v>
      </c>
      <c r="BE12" s="8">
        <f t="shared" ca="1" si="6"/>
        <v>0</v>
      </c>
      <c r="BF12" s="8">
        <f t="shared" ca="1" si="6"/>
        <v>0</v>
      </c>
      <c r="BG12" s="8">
        <f t="shared" ca="1" si="6"/>
        <v>0</v>
      </c>
      <c r="BH12" s="8">
        <f t="shared" ca="1" si="6"/>
        <v>0</v>
      </c>
      <c r="BI12" s="8">
        <f t="shared" ca="1" si="7"/>
        <v>0</v>
      </c>
      <c r="BJ12" s="8">
        <f t="shared" ca="1" si="7"/>
        <v>0</v>
      </c>
      <c r="BK12" s="8">
        <f t="shared" ca="1" si="7"/>
        <v>0</v>
      </c>
      <c r="BL12" s="8">
        <f t="shared" ca="1" si="7"/>
        <v>0</v>
      </c>
      <c r="BM12" s="8">
        <f t="shared" ca="1" si="7"/>
        <v>0</v>
      </c>
      <c r="BN12" s="8">
        <f t="shared" ca="1" si="7"/>
        <v>0</v>
      </c>
      <c r="BO12" s="8">
        <f t="shared" ca="1" si="7"/>
        <v>0</v>
      </c>
      <c r="BP12" s="8">
        <f t="shared" ca="1" si="7"/>
        <v>0</v>
      </c>
      <c r="BQ12" s="8">
        <f t="shared" ca="1" si="7"/>
        <v>0</v>
      </c>
      <c r="BR12" s="8">
        <f t="shared" ca="1" si="7"/>
        <v>0</v>
      </c>
      <c r="BS12" s="8">
        <f t="shared" ca="1" si="7"/>
        <v>0</v>
      </c>
      <c r="BT12" s="8">
        <f t="shared" ca="1" si="7"/>
        <v>0</v>
      </c>
      <c r="BU12" s="8">
        <f t="shared" ca="1" si="7"/>
        <v>0</v>
      </c>
      <c r="BV12" s="8">
        <f t="shared" ca="1" si="7"/>
        <v>0</v>
      </c>
      <c r="BW12" s="8">
        <f t="shared" ca="1" si="7"/>
        <v>0</v>
      </c>
      <c r="BX12" s="8">
        <f t="shared" ca="1" si="7"/>
        <v>0</v>
      </c>
      <c r="BY12" s="8">
        <f t="shared" ca="1" si="8"/>
        <v>0</v>
      </c>
      <c r="BZ12" s="8">
        <f t="shared" ca="1" si="8"/>
        <v>0</v>
      </c>
      <c r="CA12" s="8">
        <f t="shared" ca="1" si="8"/>
        <v>0</v>
      </c>
      <c r="CB12" s="8">
        <f t="shared" ca="1" si="8"/>
        <v>0</v>
      </c>
      <c r="CC12" s="8">
        <f t="shared" ca="1" si="8"/>
        <v>0</v>
      </c>
      <c r="CD12" s="8">
        <f t="shared" ca="1" si="8"/>
        <v>0</v>
      </c>
      <c r="CE12" s="8">
        <f t="shared" ca="1" si="8"/>
        <v>0</v>
      </c>
      <c r="CF12" s="8">
        <f t="shared" ca="1" si="8"/>
        <v>0</v>
      </c>
      <c r="CG12" s="8">
        <f t="shared" ca="1" si="8"/>
        <v>0</v>
      </c>
      <c r="CH12" s="8">
        <f t="shared" ca="1" si="8"/>
        <v>0</v>
      </c>
      <c r="CI12" s="8">
        <f t="shared" ca="1" si="8"/>
        <v>0</v>
      </c>
      <c r="CJ12" s="8">
        <f t="shared" ca="1" si="8"/>
        <v>0</v>
      </c>
      <c r="CK12" s="29">
        <f t="shared" ca="1" si="8"/>
        <v>0</v>
      </c>
      <c r="CN12" s="8">
        <v>4.5</v>
      </c>
      <c r="CO12" s="16">
        <v>0.05</v>
      </c>
      <c r="CP12" s="16">
        <v>-1.9356928853394031E-2</v>
      </c>
      <c r="CQ12" s="16">
        <v>5.6330858493112588E-3</v>
      </c>
      <c r="CR12" s="16">
        <v>7.4813240294024363E-3</v>
      </c>
      <c r="CS12" s="16">
        <f t="shared" si="14"/>
        <v>4.3757481025319664E-2</v>
      </c>
      <c r="EC12" s="8">
        <f ca="1"/>
        <v>1.9820000000000001E-2</v>
      </c>
      <c r="ED12" s="8">
        <f ca="1"/>
        <v>1.9820000000000001E-2</v>
      </c>
      <c r="EE12" s="8">
        <f ca="1"/>
        <v>1.9820000000000001E-2</v>
      </c>
    </row>
    <row r="13" spans="1:135" x14ac:dyDescent="0.45">
      <c r="A13" s="7">
        <f ca="1"/>
        <v>4.5</v>
      </c>
      <c r="B13" s="57">
        <f ca="1"/>
        <v>2.1900000000000001E-3</v>
      </c>
      <c r="C13" s="17">
        <f ca="1"/>
        <v>91.959000000000003</v>
      </c>
      <c r="D13" s="17">
        <f t="shared" ca="1" si="0"/>
        <v>92.123966191716605</v>
      </c>
      <c r="E13" s="17">
        <f t="shared" ca="1" si="9"/>
        <v>0.16496619171660143</v>
      </c>
      <c r="F13" s="17">
        <f t="shared" ca="1" si="1"/>
        <v>0.16496619171660143</v>
      </c>
      <c r="G13" s="18">
        <f t="shared" ca="1" si="10"/>
        <v>1.165305220783619E-2</v>
      </c>
      <c r="H13" s="18">
        <f ca="1">IFERROR(IRR((J13,L13:CK13),0),0)</f>
        <v>1.1449744248193783E-2</v>
      </c>
      <c r="I13" s="52">
        <f t="shared" ca="1" si="2"/>
        <v>-2.03307959642407E-4</v>
      </c>
      <c r="J13" s="17">
        <f t="shared" ca="1" si="13"/>
        <v>-92.123966191716605</v>
      </c>
      <c r="K13" s="28">
        <f t="shared" ca="1" si="3"/>
        <v>-91.959000000000003</v>
      </c>
      <c r="L13" s="8">
        <f t="shared" ca="1" si="11"/>
        <v>0.219</v>
      </c>
      <c r="M13" s="8">
        <f t="shared" ca="1" si="11"/>
        <v>0.219</v>
      </c>
      <c r="N13" s="8">
        <f t="shared" ca="1" si="11"/>
        <v>0.219</v>
      </c>
      <c r="O13" s="8">
        <f t="shared" ca="1" si="11"/>
        <v>0.219</v>
      </c>
      <c r="P13" s="8">
        <f t="shared" ca="1" si="11"/>
        <v>0.219</v>
      </c>
      <c r="Q13" s="8">
        <f t="shared" ca="1" si="11"/>
        <v>0.219</v>
      </c>
      <c r="R13" s="8">
        <f t="shared" ca="1" si="11"/>
        <v>0.219</v>
      </c>
      <c r="S13" s="8">
        <f t="shared" ca="1" si="11"/>
        <v>0.219</v>
      </c>
      <c r="T13" s="8">
        <f t="shared" ca="1" si="11"/>
        <v>100.21899999999999</v>
      </c>
      <c r="U13" s="8">
        <f t="shared" ca="1" si="11"/>
        <v>0</v>
      </c>
      <c r="V13" s="8">
        <f t="shared" ca="1" si="4"/>
        <v>0</v>
      </c>
      <c r="W13" s="8">
        <f t="shared" ca="1" si="4"/>
        <v>0</v>
      </c>
      <c r="X13" s="8">
        <f t="shared" ca="1" si="4"/>
        <v>0</v>
      </c>
      <c r="Y13" s="8">
        <f t="shared" ca="1" si="4"/>
        <v>0</v>
      </c>
      <c r="Z13" s="8">
        <f t="shared" ca="1" si="4"/>
        <v>0</v>
      </c>
      <c r="AA13" s="8">
        <f t="shared" ca="1" si="4"/>
        <v>0</v>
      </c>
      <c r="AB13" s="8">
        <f t="shared" ca="1" si="4"/>
        <v>0</v>
      </c>
      <c r="AC13" s="8">
        <f t="shared" ca="1" si="5"/>
        <v>0</v>
      </c>
      <c r="AD13" s="8">
        <f t="shared" ca="1" si="5"/>
        <v>0</v>
      </c>
      <c r="AE13" s="8">
        <f t="shared" ca="1" si="5"/>
        <v>0</v>
      </c>
      <c r="AF13" s="8">
        <f t="shared" ca="1" si="5"/>
        <v>0</v>
      </c>
      <c r="AG13" s="8">
        <f t="shared" ca="1" si="5"/>
        <v>0</v>
      </c>
      <c r="AH13" s="8">
        <f t="shared" ca="1" si="5"/>
        <v>0</v>
      </c>
      <c r="AI13" s="8">
        <f t="shared" ca="1" si="5"/>
        <v>0</v>
      </c>
      <c r="AJ13" s="8">
        <f t="shared" ca="1" si="5"/>
        <v>0</v>
      </c>
      <c r="AK13" s="8">
        <f t="shared" ca="1" si="5"/>
        <v>0</v>
      </c>
      <c r="AL13" s="8">
        <f t="shared" ca="1" si="5"/>
        <v>0</v>
      </c>
      <c r="AM13" s="8">
        <f t="shared" ca="1" si="5"/>
        <v>0</v>
      </c>
      <c r="AN13" s="8">
        <f t="shared" ca="1" si="5"/>
        <v>0</v>
      </c>
      <c r="AO13" s="8">
        <f t="shared" ca="1" si="5"/>
        <v>0</v>
      </c>
      <c r="AP13" s="8">
        <f t="shared" ca="1" si="5"/>
        <v>0</v>
      </c>
      <c r="AQ13" s="8">
        <f t="shared" ca="1" si="5"/>
        <v>0</v>
      </c>
      <c r="AR13" s="8">
        <f t="shared" ca="1" si="5"/>
        <v>0</v>
      </c>
      <c r="AS13" s="8">
        <f t="shared" ca="1" si="6"/>
        <v>0</v>
      </c>
      <c r="AT13" s="8">
        <f t="shared" ca="1" si="6"/>
        <v>0</v>
      </c>
      <c r="AU13" s="8">
        <f t="shared" ca="1" si="6"/>
        <v>0</v>
      </c>
      <c r="AV13" s="8">
        <f t="shared" ca="1" si="6"/>
        <v>0</v>
      </c>
      <c r="AW13" s="8">
        <f t="shared" ca="1" si="6"/>
        <v>0</v>
      </c>
      <c r="AX13" s="8">
        <f t="shared" ca="1" si="6"/>
        <v>0</v>
      </c>
      <c r="AY13" s="8">
        <f t="shared" ca="1" si="6"/>
        <v>0</v>
      </c>
      <c r="AZ13" s="8">
        <f t="shared" ca="1" si="6"/>
        <v>0</v>
      </c>
      <c r="BA13" s="8">
        <f t="shared" ca="1" si="6"/>
        <v>0</v>
      </c>
      <c r="BB13" s="8">
        <f t="shared" ca="1" si="6"/>
        <v>0</v>
      </c>
      <c r="BC13" s="8">
        <f t="shared" ca="1" si="6"/>
        <v>0</v>
      </c>
      <c r="BD13" s="8">
        <f t="shared" ca="1" si="6"/>
        <v>0</v>
      </c>
      <c r="BE13" s="8">
        <f t="shared" ca="1" si="6"/>
        <v>0</v>
      </c>
      <c r="BF13" s="8">
        <f t="shared" ca="1" si="6"/>
        <v>0</v>
      </c>
      <c r="BG13" s="8">
        <f t="shared" ca="1" si="6"/>
        <v>0</v>
      </c>
      <c r="BH13" s="8">
        <f t="shared" ca="1" si="6"/>
        <v>0</v>
      </c>
      <c r="BI13" s="8">
        <f t="shared" ca="1" si="7"/>
        <v>0</v>
      </c>
      <c r="BJ13" s="8">
        <f t="shared" ca="1" si="7"/>
        <v>0</v>
      </c>
      <c r="BK13" s="8">
        <f t="shared" ca="1" si="7"/>
        <v>0</v>
      </c>
      <c r="BL13" s="8">
        <f t="shared" ca="1" si="7"/>
        <v>0</v>
      </c>
      <c r="BM13" s="8">
        <f t="shared" ca="1" si="7"/>
        <v>0</v>
      </c>
      <c r="BN13" s="8">
        <f t="shared" ca="1" si="7"/>
        <v>0</v>
      </c>
      <c r="BO13" s="8">
        <f t="shared" ca="1" si="7"/>
        <v>0</v>
      </c>
      <c r="BP13" s="8">
        <f t="shared" ca="1" si="7"/>
        <v>0</v>
      </c>
      <c r="BQ13" s="8">
        <f t="shared" ca="1" si="7"/>
        <v>0</v>
      </c>
      <c r="BR13" s="8">
        <f t="shared" ca="1" si="7"/>
        <v>0</v>
      </c>
      <c r="BS13" s="8">
        <f t="shared" ca="1" si="7"/>
        <v>0</v>
      </c>
      <c r="BT13" s="8">
        <f t="shared" ca="1" si="7"/>
        <v>0</v>
      </c>
      <c r="BU13" s="8">
        <f t="shared" ca="1" si="7"/>
        <v>0</v>
      </c>
      <c r="BV13" s="8">
        <f t="shared" ca="1" si="7"/>
        <v>0</v>
      </c>
      <c r="BW13" s="8">
        <f t="shared" ca="1" si="7"/>
        <v>0</v>
      </c>
      <c r="BX13" s="8">
        <f t="shared" ca="1" si="7"/>
        <v>0</v>
      </c>
      <c r="BY13" s="8">
        <f t="shared" ca="1" si="8"/>
        <v>0</v>
      </c>
      <c r="BZ13" s="8">
        <f t="shared" ca="1" si="8"/>
        <v>0</v>
      </c>
      <c r="CA13" s="8">
        <f t="shared" ca="1" si="8"/>
        <v>0</v>
      </c>
      <c r="CB13" s="8">
        <f t="shared" ca="1" si="8"/>
        <v>0</v>
      </c>
      <c r="CC13" s="8">
        <f t="shared" ca="1" si="8"/>
        <v>0</v>
      </c>
      <c r="CD13" s="8">
        <f t="shared" ca="1" si="8"/>
        <v>0</v>
      </c>
      <c r="CE13" s="8">
        <f t="shared" ca="1" si="8"/>
        <v>0</v>
      </c>
      <c r="CF13" s="8">
        <f t="shared" ca="1" si="8"/>
        <v>0</v>
      </c>
      <c r="CG13" s="8">
        <f t="shared" ca="1" si="8"/>
        <v>0</v>
      </c>
      <c r="CH13" s="8">
        <f t="shared" ca="1" si="8"/>
        <v>0</v>
      </c>
      <c r="CI13" s="8">
        <f t="shared" ca="1" si="8"/>
        <v>0</v>
      </c>
      <c r="CJ13" s="8">
        <f t="shared" ca="1" si="8"/>
        <v>0</v>
      </c>
      <c r="CK13" s="29">
        <f t="shared" ca="1" si="8"/>
        <v>0</v>
      </c>
      <c r="CN13" s="8">
        <v>5</v>
      </c>
      <c r="CO13" s="16">
        <v>0.05</v>
      </c>
      <c r="CP13" s="16">
        <v>-1.9098386234388299E-2</v>
      </c>
      <c r="CQ13" s="16">
        <v>6.145249222214752E-3</v>
      </c>
      <c r="CR13" s="16">
        <v>8.2448589857253562E-3</v>
      </c>
      <c r="CS13" s="16">
        <f t="shared" si="14"/>
        <v>4.5291721973551816E-2</v>
      </c>
      <c r="EC13" s="8">
        <f ca="1"/>
        <v>2.155E-2</v>
      </c>
      <c r="ED13" s="8">
        <f ca="1"/>
        <v>2.155E-2</v>
      </c>
      <c r="EE13" s="8">
        <f ca="1"/>
        <v>2.155E-2</v>
      </c>
    </row>
    <row r="14" spans="1:135" x14ac:dyDescent="0.45">
      <c r="A14" s="7">
        <f ca="1"/>
        <v>6</v>
      </c>
      <c r="B14" s="57">
        <f ca="1"/>
        <v>3.2400000000000003E-3</v>
      </c>
      <c r="C14" s="17">
        <f ca="1"/>
        <v>89.953999999999994</v>
      </c>
      <c r="D14" s="17">
        <f t="shared" ca="1" si="0"/>
        <v>89.702502276574961</v>
      </c>
      <c r="E14" s="17">
        <f t="shared" ca="1" si="9"/>
        <v>-0.2514977234250324</v>
      </c>
      <c r="F14" s="17">
        <f t="shared" ca="1" si="1"/>
        <v>0.2514977234250324</v>
      </c>
      <c r="G14" s="18">
        <f t="shared" ca="1" si="10"/>
        <v>1.2295734507354217E-2</v>
      </c>
      <c r="H14" s="18">
        <f ca="1">IFERROR(IRR((J14,L14:CK14),0),0)</f>
        <v>1.2536474589796232E-2</v>
      </c>
      <c r="I14" s="52">
        <f t="shared" ca="1" si="2"/>
        <v>2.4074008244201472E-4</v>
      </c>
      <c r="J14" s="17">
        <f t="shared" ca="1" si="13"/>
        <v>-89.702502276574961</v>
      </c>
      <c r="K14" s="28">
        <f t="shared" ca="1" si="3"/>
        <v>-89.953999999999994</v>
      </c>
      <c r="L14" s="8">
        <f t="shared" ca="1" si="11"/>
        <v>0.32400000000000001</v>
      </c>
      <c r="M14" s="8">
        <f t="shared" ca="1" si="11"/>
        <v>0.32400000000000001</v>
      </c>
      <c r="N14" s="8">
        <f t="shared" ca="1" si="11"/>
        <v>0.32400000000000001</v>
      </c>
      <c r="O14" s="8">
        <f t="shared" ca="1" si="11"/>
        <v>0.32400000000000001</v>
      </c>
      <c r="P14" s="8">
        <f t="shared" ca="1" si="11"/>
        <v>0.32400000000000001</v>
      </c>
      <c r="Q14" s="8">
        <f t="shared" ca="1" si="11"/>
        <v>0.32400000000000001</v>
      </c>
      <c r="R14" s="8">
        <f t="shared" ca="1" si="11"/>
        <v>0.32400000000000001</v>
      </c>
      <c r="S14" s="8">
        <f t="shared" ca="1" si="11"/>
        <v>0.32400000000000001</v>
      </c>
      <c r="T14" s="8">
        <f t="shared" ca="1" si="11"/>
        <v>0.32400000000000001</v>
      </c>
      <c r="U14" s="8">
        <f t="shared" ca="1" si="11"/>
        <v>0.32400000000000001</v>
      </c>
      <c r="V14" s="8">
        <f t="shared" ca="1" si="4"/>
        <v>0.32400000000000001</v>
      </c>
      <c r="W14" s="8">
        <f t="shared" ca="1" si="4"/>
        <v>100.32399999999998</v>
      </c>
      <c r="X14" s="8">
        <f t="shared" ca="1" si="4"/>
        <v>0</v>
      </c>
      <c r="Y14" s="8">
        <f t="shared" ca="1" si="4"/>
        <v>0</v>
      </c>
      <c r="Z14" s="8">
        <f t="shared" ca="1" si="4"/>
        <v>0</v>
      </c>
      <c r="AA14" s="8">
        <f t="shared" ca="1" si="4"/>
        <v>0</v>
      </c>
      <c r="AB14" s="8">
        <f t="shared" ca="1" si="4"/>
        <v>0</v>
      </c>
      <c r="AC14" s="8">
        <f t="shared" ca="1" si="5"/>
        <v>0</v>
      </c>
      <c r="AD14" s="8">
        <f t="shared" ca="1" si="5"/>
        <v>0</v>
      </c>
      <c r="AE14" s="8">
        <f t="shared" ca="1" si="5"/>
        <v>0</v>
      </c>
      <c r="AF14" s="8">
        <f t="shared" ca="1" si="5"/>
        <v>0</v>
      </c>
      <c r="AG14" s="8">
        <f t="shared" ca="1" si="5"/>
        <v>0</v>
      </c>
      <c r="AH14" s="8">
        <f t="shared" ca="1" si="5"/>
        <v>0</v>
      </c>
      <c r="AI14" s="8">
        <f t="shared" ca="1" si="5"/>
        <v>0</v>
      </c>
      <c r="AJ14" s="8">
        <f t="shared" ca="1" si="5"/>
        <v>0</v>
      </c>
      <c r="AK14" s="8">
        <f t="shared" ca="1" si="5"/>
        <v>0</v>
      </c>
      <c r="AL14" s="8">
        <f t="shared" ca="1" si="5"/>
        <v>0</v>
      </c>
      <c r="AM14" s="8">
        <f t="shared" ca="1" si="5"/>
        <v>0</v>
      </c>
      <c r="AN14" s="8">
        <f t="shared" ca="1" si="5"/>
        <v>0</v>
      </c>
      <c r="AO14" s="8">
        <f t="shared" ca="1" si="5"/>
        <v>0</v>
      </c>
      <c r="AP14" s="8">
        <f t="shared" ca="1" si="5"/>
        <v>0</v>
      </c>
      <c r="AQ14" s="8">
        <f t="shared" ca="1" si="5"/>
        <v>0</v>
      </c>
      <c r="AR14" s="8">
        <f t="shared" ca="1" si="5"/>
        <v>0</v>
      </c>
      <c r="AS14" s="8">
        <f t="shared" ca="1" si="6"/>
        <v>0</v>
      </c>
      <c r="AT14" s="8">
        <f t="shared" ca="1" si="6"/>
        <v>0</v>
      </c>
      <c r="AU14" s="8">
        <f t="shared" ca="1" si="6"/>
        <v>0</v>
      </c>
      <c r="AV14" s="8">
        <f t="shared" ca="1" si="6"/>
        <v>0</v>
      </c>
      <c r="AW14" s="8">
        <f t="shared" ca="1" si="6"/>
        <v>0</v>
      </c>
      <c r="AX14" s="8">
        <f t="shared" ca="1" si="6"/>
        <v>0</v>
      </c>
      <c r="AY14" s="8">
        <f t="shared" ca="1" si="6"/>
        <v>0</v>
      </c>
      <c r="AZ14" s="8">
        <f t="shared" ca="1" si="6"/>
        <v>0</v>
      </c>
      <c r="BA14" s="8">
        <f t="shared" ca="1" si="6"/>
        <v>0</v>
      </c>
      <c r="BB14" s="8">
        <f t="shared" ca="1" si="6"/>
        <v>0</v>
      </c>
      <c r="BC14" s="8">
        <f t="shared" ca="1" si="6"/>
        <v>0</v>
      </c>
      <c r="BD14" s="8">
        <f t="shared" ca="1" si="6"/>
        <v>0</v>
      </c>
      <c r="BE14" s="8">
        <f t="shared" ca="1" si="6"/>
        <v>0</v>
      </c>
      <c r="BF14" s="8">
        <f t="shared" ca="1" si="6"/>
        <v>0</v>
      </c>
      <c r="BG14" s="8">
        <f t="shared" ca="1" si="6"/>
        <v>0</v>
      </c>
      <c r="BH14" s="8">
        <f t="shared" ca="1" si="6"/>
        <v>0</v>
      </c>
      <c r="BI14" s="8">
        <f t="shared" ca="1" si="7"/>
        <v>0</v>
      </c>
      <c r="BJ14" s="8">
        <f t="shared" ca="1" si="7"/>
        <v>0</v>
      </c>
      <c r="BK14" s="8">
        <f t="shared" ca="1" si="7"/>
        <v>0</v>
      </c>
      <c r="BL14" s="8">
        <f t="shared" ca="1" si="7"/>
        <v>0</v>
      </c>
      <c r="BM14" s="8">
        <f t="shared" ca="1" si="7"/>
        <v>0</v>
      </c>
      <c r="BN14" s="8">
        <f t="shared" ca="1" si="7"/>
        <v>0</v>
      </c>
      <c r="BO14" s="8">
        <f t="shared" ca="1" si="7"/>
        <v>0</v>
      </c>
      <c r="BP14" s="8">
        <f t="shared" ca="1" si="7"/>
        <v>0</v>
      </c>
      <c r="BQ14" s="8">
        <f t="shared" ca="1" si="7"/>
        <v>0</v>
      </c>
      <c r="BR14" s="8">
        <f t="shared" ca="1" si="7"/>
        <v>0</v>
      </c>
      <c r="BS14" s="8">
        <f t="shared" ca="1" si="7"/>
        <v>0</v>
      </c>
      <c r="BT14" s="8">
        <f t="shared" ca="1" si="7"/>
        <v>0</v>
      </c>
      <c r="BU14" s="8">
        <f t="shared" ca="1" si="7"/>
        <v>0</v>
      </c>
      <c r="BV14" s="8">
        <f t="shared" ca="1" si="7"/>
        <v>0</v>
      </c>
      <c r="BW14" s="8">
        <f t="shared" ca="1" si="7"/>
        <v>0</v>
      </c>
      <c r="BX14" s="8">
        <f t="shared" ca="1" si="7"/>
        <v>0</v>
      </c>
      <c r="BY14" s="8">
        <f t="shared" ca="1" si="8"/>
        <v>0</v>
      </c>
      <c r="BZ14" s="8">
        <f t="shared" ca="1" si="8"/>
        <v>0</v>
      </c>
      <c r="CA14" s="8">
        <f t="shared" ca="1" si="8"/>
        <v>0</v>
      </c>
      <c r="CB14" s="8">
        <f t="shared" ca="1" si="8"/>
        <v>0</v>
      </c>
      <c r="CC14" s="8">
        <f t="shared" ca="1" si="8"/>
        <v>0</v>
      </c>
      <c r="CD14" s="8">
        <f t="shared" ca="1" si="8"/>
        <v>0</v>
      </c>
      <c r="CE14" s="8">
        <f t="shared" ca="1" si="8"/>
        <v>0</v>
      </c>
      <c r="CF14" s="8">
        <f t="shared" ca="1" si="8"/>
        <v>0</v>
      </c>
      <c r="CG14" s="8">
        <f t="shared" ca="1" si="8"/>
        <v>0</v>
      </c>
      <c r="CH14" s="8">
        <f t="shared" ca="1" si="8"/>
        <v>0</v>
      </c>
      <c r="CI14" s="8">
        <f t="shared" ca="1" si="8"/>
        <v>0</v>
      </c>
      <c r="CJ14" s="8">
        <f t="shared" ca="1" si="8"/>
        <v>0</v>
      </c>
      <c r="CK14" s="29">
        <f t="shared" ca="1" si="8"/>
        <v>0</v>
      </c>
      <c r="CN14" s="8">
        <v>5.5</v>
      </c>
      <c r="CO14" s="16">
        <v>0.05</v>
      </c>
      <c r="CP14" s="16">
        <v>-1.8844535952625724E-2</v>
      </c>
      <c r="CQ14" s="16">
        <v>6.6372416387990973E-3</v>
      </c>
      <c r="CR14" s="16">
        <v>8.9955342150755888E-3</v>
      </c>
      <c r="CS14" s="16">
        <f t="shared" si="14"/>
        <v>4.6788239901248967E-2</v>
      </c>
      <c r="EC14" s="8">
        <f ca="1"/>
        <v>2.8389999999999999E-2</v>
      </c>
      <c r="ED14" s="8">
        <f ca="1"/>
        <v>2.8389999999999999E-2</v>
      </c>
      <c r="EE14" s="8">
        <f ca="1"/>
        <v>2.8389999999999999E-2</v>
      </c>
    </row>
    <row r="15" spans="1:135" x14ac:dyDescent="0.45">
      <c r="A15" s="7">
        <f ca="1"/>
        <v>10</v>
      </c>
      <c r="B15" s="57">
        <f ca="1"/>
        <v>3.4300000000000003E-3</v>
      </c>
      <c r="C15" s="17">
        <f ca="1"/>
        <v>80.22</v>
      </c>
      <c r="D15" s="17">
        <f t="shared" ca="1" si="0"/>
        <v>80.220009259997155</v>
      </c>
      <c r="E15" s="17">
        <f t="shared" ca="1" si="9"/>
        <v>9.2599971566187378E-6</v>
      </c>
      <c r="F15" s="17">
        <f t="shared" ca="1" si="1"/>
        <v>9.2599971566187378E-6</v>
      </c>
      <c r="G15" s="18">
        <f t="shared" ca="1" si="10"/>
        <v>1.4944730457183253E-2</v>
      </c>
      <c r="H15" s="18">
        <f ca="1">IFERROR(IRR((J15,L15:CK15),0),0)</f>
        <v>1.4944724376146912E-2</v>
      </c>
      <c r="I15" s="52">
        <f t="shared" ca="1" si="2"/>
        <v>-6.0810363411434309E-9</v>
      </c>
      <c r="J15" s="17">
        <f t="shared" ca="1" si="13"/>
        <v>-80.220009259997155</v>
      </c>
      <c r="K15" s="28">
        <f t="shared" ca="1" si="3"/>
        <v>-80.22</v>
      </c>
      <c r="L15" s="8">
        <f t="shared" ca="1" si="11"/>
        <v>0.34300000000000003</v>
      </c>
      <c r="M15" s="8">
        <f t="shared" ca="1" si="11"/>
        <v>0.34300000000000003</v>
      </c>
      <c r="N15" s="8">
        <f t="shared" ca="1" si="11"/>
        <v>0.34300000000000003</v>
      </c>
      <c r="O15" s="8">
        <f t="shared" ca="1" si="11"/>
        <v>0.34300000000000003</v>
      </c>
      <c r="P15" s="8">
        <f t="shared" ca="1" si="11"/>
        <v>0.34300000000000003</v>
      </c>
      <c r="Q15" s="8">
        <f t="shared" ca="1" si="11"/>
        <v>0.34300000000000003</v>
      </c>
      <c r="R15" s="8">
        <f t="shared" ca="1" si="11"/>
        <v>0.34300000000000003</v>
      </c>
      <c r="S15" s="8">
        <f t="shared" ca="1" si="11"/>
        <v>0.34300000000000003</v>
      </c>
      <c r="T15" s="8">
        <f t="shared" ca="1" si="11"/>
        <v>0.34300000000000003</v>
      </c>
      <c r="U15" s="8">
        <f t="shared" ca="1" si="11"/>
        <v>0.34300000000000003</v>
      </c>
      <c r="V15" s="8">
        <f t="shared" ca="1" si="4"/>
        <v>0.34300000000000003</v>
      </c>
      <c r="W15" s="8">
        <f t="shared" ca="1" si="4"/>
        <v>0.34300000000000003</v>
      </c>
      <c r="X15" s="8">
        <f t="shared" ca="1" si="4"/>
        <v>0.34300000000000003</v>
      </c>
      <c r="Y15" s="8">
        <f t="shared" ca="1" si="4"/>
        <v>0.34300000000000003</v>
      </c>
      <c r="Z15" s="8">
        <f t="shared" ca="1" si="4"/>
        <v>0.34300000000000003</v>
      </c>
      <c r="AA15" s="8">
        <f t="shared" ca="1" si="4"/>
        <v>0.34300000000000003</v>
      </c>
      <c r="AB15" s="8">
        <f t="shared" ca="1" si="4"/>
        <v>0.34300000000000003</v>
      </c>
      <c r="AC15" s="8">
        <f t="shared" ca="1" si="5"/>
        <v>0.34300000000000003</v>
      </c>
      <c r="AD15" s="8">
        <f t="shared" ca="1" si="5"/>
        <v>0.34300000000000003</v>
      </c>
      <c r="AE15" s="8">
        <f t="shared" ca="1" si="5"/>
        <v>100.343</v>
      </c>
      <c r="AF15" s="8">
        <f t="shared" ca="1" si="5"/>
        <v>0</v>
      </c>
      <c r="AG15" s="8">
        <f t="shared" ca="1" si="5"/>
        <v>0</v>
      </c>
      <c r="AH15" s="8">
        <f t="shared" ca="1" si="5"/>
        <v>0</v>
      </c>
      <c r="AI15" s="8">
        <f t="shared" ca="1" si="5"/>
        <v>0</v>
      </c>
      <c r="AJ15" s="8">
        <f t="shared" ca="1" si="5"/>
        <v>0</v>
      </c>
      <c r="AK15" s="8">
        <f t="shared" ca="1" si="5"/>
        <v>0</v>
      </c>
      <c r="AL15" s="8">
        <f t="shared" ca="1" si="5"/>
        <v>0</v>
      </c>
      <c r="AM15" s="8">
        <f t="shared" ca="1" si="5"/>
        <v>0</v>
      </c>
      <c r="AN15" s="8">
        <f t="shared" ca="1" si="5"/>
        <v>0</v>
      </c>
      <c r="AO15" s="8">
        <f t="shared" ca="1" si="5"/>
        <v>0</v>
      </c>
      <c r="AP15" s="8">
        <f t="shared" ca="1" si="5"/>
        <v>0</v>
      </c>
      <c r="AQ15" s="8">
        <f t="shared" ca="1" si="5"/>
        <v>0</v>
      </c>
      <c r="AR15" s="8">
        <f t="shared" ca="1" si="5"/>
        <v>0</v>
      </c>
      <c r="AS15" s="8">
        <f t="shared" ca="1" si="6"/>
        <v>0</v>
      </c>
      <c r="AT15" s="8">
        <f t="shared" ca="1" si="6"/>
        <v>0</v>
      </c>
      <c r="AU15" s="8">
        <f t="shared" ca="1" si="6"/>
        <v>0</v>
      </c>
      <c r="AV15" s="8">
        <f t="shared" ca="1" si="6"/>
        <v>0</v>
      </c>
      <c r="AW15" s="8">
        <f t="shared" ca="1" si="6"/>
        <v>0</v>
      </c>
      <c r="AX15" s="8">
        <f t="shared" ca="1" si="6"/>
        <v>0</v>
      </c>
      <c r="AY15" s="8">
        <f t="shared" ca="1" si="6"/>
        <v>0</v>
      </c>
      <c r="AZ15" s="8">
        <f t="shared" ca="1" si="6"/>
        <v>0</v>
      </c>
      <c r="BA15" s="8">
        <f t="shared" ca="1" si="6"/>
        <v>0</v>
      </c>
      <c r="BB15" s="8">
        <f t="shared" ca="1" si="6"/>
        <v>0</v>
      </c>
      <c r="BC15" s="8">
        <f t="shared" ca="1" si="6"/>
        <v>0</v>
      </c>
      <c r="BD15" s="8">
        <f t="shared" ca="1" si="6"/>
        <v>0</v>
      </c>
      <c r="BE15" s="8">
        <f t="shared" ca="1" si="6"/>
        <v>0</v>
      </c>
      <c r="BF15" s="8">
        <f t="shared" ca="1" si="6"/>
        <v>0</v>
      </c>
      <c r="BG15" s="8">
        <f t="shared" ca="1" si="6"/>
        <v>0</v>
      </c>
      <c r="BH15" s="8">
        <f t="shared" ca="1" si="6"/>
        <v>0</v>
      </c>
      <c r="BI15" s="8">
        <f t="shared" ca="1" si="7"/>
        <v>0</v>
      </c>
      <c r="BJ15" s="8">
        <f t="shared" ca="1" si="7"/>
        <v>0</v>
      </c>
      <c r="BK15" s="8">
        <f t="shared" ca="1" si="7"/>
        <v>0</v>
      </c>
      <c r="BL15" s="8">
        <f t="shared" ca="1" si="7"/>
        <v>0</v>
      </c>
      <c r="BM15" s="8">
        <f t="shared" ca="1" si="7"/>
        <v>0</v>
      </c>
      <c r="BN15" s="8">
        <f t="shared" ca="1" si="7"/>
        <v>0</v>
      </c>
      <c r="BO15" s="8">
        <f t="shared" ca="1" si="7"/>
        <v>0</v>
      </c>
      <c r="BP15" s="8">
        <f t="shared" ca="1" si="7"/>
        <v>0</v>
      </c>
      <c r="BQ15" s="8">
        <f t="shared" ca="1" si="7"/>
        <v>0</v>
      </c>
      <c r="BR15" s="8">
        <f t="shared" ca="1" si="7"/>
        <v>0</v>
      </c>
      <c r="BS15" s="8">
        <f t="shared" ca="1" si="7"/>
        <v>0</v>
      </c>
      <c r="BT15" s="8">
        <f t="shared" ca="1" si="7"/>
        <v>0</v>
      </c>
      <c r="BU15" s="8">
        <f t="shared" ca="1" si="7"/>
        <v>0</v>
      </c>
      <c r="BV15" s="8">
        <f t="shared" ca="1" si="7"/>
        <v>0</v>
      </c>
      <c r="BW15" s="8">
        <f t="shared" ca="1" si="7"/>
        <v>0</v>
      </c>
      <c r="BX15" s="8">
        <f t="shared" ca="1" si="7"/>
        <v>0</v>
      </c>
      <c r="BY15" s="8">
        <f t="shared" ca="1" si="8"/>
        <v>0</v>
      </c>
      <c r="BZ15" s="8">
        <f t="shared" ca="1" si="8"/>
        <v>0</v>
      </c>
      <c r="CA15" s="8">
        <f t="shared" ca="1" si="8"/>
        <v>0</v>
      </c>
      <c r="CB15" s="8">
        <f t="shared" ca="1" si="8"/>
        <v>0</v>
      </c>
      <c r="CC15" s="8">
        <f t="shared" ca="1" si="8"/>
        <v>0</v>
      </c>
      <c r="CD15" s="8">
        <f t="shared" ca="1" si="8"/>
        <v>0</v>
      </c>
      <c r="CE15" s="8">
        <f t="shared" ca="1" si="8"/>
        <v>0</v>
      </c>
      <c r="CF15" s="8">
        <f t="shared" ca="1" si="8"/>
        <v>0</v>
      </c>
      <c r="CG15" s="8">
        <f t="shared" ca="1" si="8"/>
        <v>0</v>
      </c>
      <c r="CH15" s="8">
        <f t="shared" ca="1" si="8"/>
        <v>0</v>
      </c>
      <c r="CI15" s="8">
        <f t="shared" ca="1" si="8"/>
        <v>0</v>
      </c>
      <c r="CJ15" s="8">
        <f t="shared" ca="1" si="8"/>
        <v>0</v>
      </c>
      <c r="CK15" s="29">
        <f t="shared" ca="1" si="8"/>
        <v>0</v>
      </c>
      <c r="CN15" s="8">
        <v>6</v>
      </c>
      <c r="CO15" s="16">
        <v>0.05</v>
      </c>
      <c r="CP15" s="16">
        <v>-1.859528146160969E-2</v>
      </c>
      <c r="CQ15" s="16">
        <v>7.1097037138065236E-3</v>
      </c>
      <c r="CR15" s="16">
        <v>9.7335291763639246E-3</v>
      </c>
      <c r="CS15" s="16">
        <f t="shared" si="14"/>
        <v>4.8247951428560767E-2</v>
      </c>
    </row>
    <row r="16" spans="1:135" x14ac:dyDescent="0.45">
      <c r="A16" s="7"/>
      <c r="B16" s="57"/>
      <c r="C16" s="17"/>
      <c r="D16" s="17">
        <f t="shared" si="0"/>
        <v>0</v>
      </c>
      <c r="E16" s="17">
        <f t="shared" si="9"/>
        <v>0</v>
      </c>
      <c r="F16" s="17">
        <f t="shared" si="1"/>
        <v>0</v>
      </c>
      <c r="G16" s="18">
        <f t="shared" si="10"/>
        <v>0</v>
      </c>
      <c r="H16" s="18">
        <f>IFERROR(IRR((J16,L16:CK16),0),0)</f>
        <v>0</v>
      </c>
      <c r="I16" s="52">
        <f t="shared" si="2"/>
        <v>0</v>
      </c>
      <c r="J16" s="17">
        <f t="shared" si="13"/>
        <v>0</v>
      </c>
      <c r="K16" s="28">
        <f t="shared" si="3"/>
        <v>0</v>
      </c>
      <c r="L16" s="8">
        <f t="shared" si="11"/>
        <v>0</v>
      </c>
      <c r="M16" s="8">
        <f t="shared" si="11"/>
        <v>0</v>
      </c>
      <c r="N16" s="8">
        <f t="shared" si="11"/>
        <v>0</v>
      </c>
      <c r="O16" s="8">
        <f t="shared" si="11"/>
        <v>0</v>
      </c>
      <c r="P16" s="8">
        <f t="shared" si="11"/>
        <v>0</v>
      </c>
      <c r="Q16" s="8">
        <f t="shared" si="11"/>
        <v>0</v>
      </c>
      <c r="R16" s="8">
        <f t="shared" si="11"/>
        <v>0</v>
      </c>
      <c r="S16" s="8">
        <f t="shared" si="11"/>
        <v>0</v>
      </c>
      <c r="T16" s="8">
        <f t="shared" si="11"/>
        <v>0</v>
      </c>
      <c r="U16" s="8">
        <f t="shared" si="11"/>
        <v>0</v>
      </c>
      <c r="V16" s="8">
        <f t="shared" si="4"/>
        <v>0</v>
      </c>
      <c r="W16" s="8">
        <f t="shared" si="4"/>
        <v>0</v>
      </c>
      <c r="X16" s="8">
        <f t="shared" si="4"/>
        <v>0</v>
      </c>
      <c r="Y16" s="8">
        <f t="shared" si="4"/>
        <v>0</v>
      </c>
      <c r="Z16" s="8">
        <f t="shared" si="4"/>
        <v>0</v>
      </c>
      <c r="AA16" s="8">
        <f t="shared" si="4"/>
        <v>0</v>
      </c>
      <c r="AB16" s="8">
        <f t="shared" si="4"/>
        <v>0</v>
      </c>
      <c r="AC16" s="8">
        <f t="shared" si="5"/>
        <v>0</v>
      </c>
      <c r="AD16" s="8">
        <f t="shared" si="5"/>
        <v>0</v>
      </c>
      <c r="AE16" s="8">
        <f t="shared" si="5"/>
        <v>0</v>
      </c>
      <c r="AF16" s="8">
        <f t="shared" si="5"/>
        <v>0</v>
      </c>
      <c r="AG16" s="8">
        <f t="shared" si="5"/>
        <v>0</v>
      </c>
      <c r="AH16" s="8">
        <f t="shared" si="5"/>
        <v>0</v>
      </c>
      <c r="AI16" s="8">
        <f t="shared" si="5"/>
        <v>0</v>
      </c>
      <c r="AJ16" s="8">
        <f t="shared" si="5"/>
        <v>0</v>
      </c>
      <c r="AK16" s="8">
        <f t="shared" si="5"/>
        <v>0</v>
      </c>
      <c r="AL16" s="8">
        <f t="shared" si="5"/>
        <v>0</v>
      </c>
      <c r="AM16" s="8">
        <f t="shared" si="5"/>
        <v>0</v>
      </c>
      <c r="AN16" s="8">
        <f t="shared" si="5"/>
        <v>0</v>
      </c>
      <c r="AO16" s="8">
        <f t="shared" si="5"/>
        <v>0</v>
      </c>
      <c r="AP16" s="8">
        <f t="shared" si="5"/>
        <v>0</v>
      </c>
      <c r="AQ16" s="8">
        <f t="shared" si="5"/>
        <v>0</v>
      </c>
      <c r="AR16" s="8">
        <f t="shared" si="5"/>
        <v>0</v>
      </c>
      <c r="AS16" s="8">
        <f t="shared" si="6"/>
        <v>0</v>
      </c>
      <c r="AT16" s="8">
        <f t="shared" si="6"/>
        <v>0</v>
      </c>
      <c r="AU16" s="8">
        <f t="shared" si="6"/>
        <v>0</v>
      </c>
      <c r="AV16" s="8">
        <f t="shared" si="6"/>
        <v>0</v>
      </c>
      <c r="AW16" s="8">
        <f t="shared" si="6"/>
        <v>0</v>
      </c>
      <c r="AX16" s="8">
        <f t="shared" si="6"/>
        <v>0</v>
      </c>
      <c r="AY16" s="8">
        <f t="shared" si="6"/>
        <v>0</v>
      </c>
      <c r="AZ16" s="8">
        <f t="shared" si="6"/>
        <v>0</v>
      </c>
      <c r="BA16" s="8">
        <f t="shared" si="6"/>
        <v>0</v>
      </c>
      <c r="BB16" s="8">
        <f t="shared" si="6"/>
        <v>0</v>
      </c>
      <c r="BC16" s="8">
        <f t="shared" si="6"/>
        <v>0</v>
      </c>
      <c r="BD16" s="8">
        <f t="shared" si="6"/>
        <v>0</v>
      </c>
      <c r="BE16" s="8">
        <f t="shared" si="6"/>
        <v>0</v>
      </c>
      <c r="BF16" s="8">
        <f t="shared" si="6"/>
        <v>0</v>
      </c>
      <c r="BG16" s="8">
        <f t="shared" si="6"/>
        <v>0</v>
      </c>
      <c r="BH16" s="8">
        <f t="shared" si="6"/>
        <v>0</v>
      </c>
      <c r="BI16" s="8">
        <f t="shared" si="7"/>
        <v>0</v>
      </c>
      <c r="BJ16" s="8">
        <f t="shared" si="7"/>
        <v>0</v>
      </c>
      <c r="BK16" s="8">
        <f t="shared" si="7"/>
        <v>0</v>
      </c>
      <c r="BL16" s="8">
        <f t="shared" si="7"/>
        <v>0</v>
      </c>
      <c r="BM16" s="8">
        <f t="shared" si="7"/>
        <v>0</v>
      </c>
      <c r="BN16" s="8">
        <f t="shared" si="7"/>
        <v>0</v>
      </c>
      <c r="BO16" s="8">
        <f t="shared" si="7"/>
        <v>0</v>
      </c>
      <c r="BP16" s="8">
        <f t="shared" si="7"/>
        <v>0</v>
      </c>
      <c r="BQ16" s="8">
        <f t="shared" si="7"/>
        <v>0</v>
      </c>
      <c r="BR16" s="8">
        <f t="shared" si="7"/>
        <v>0</v>
      </c>
      <c r="BS16" s="8">
        <f t="shared" si="7"/>
        <v>0</v>
      </c>
      <c r="BT16" s="8">
        <f t="shared" si="7"/>
        <v>0</v>
      </c>
      <c r="BU16" s="8">
        <f t="shared" si="7"/>
        <v>0</v>
      </c>
      <c r="BV16" s="8">
        <f t="shared" si="7"/>
        <v>0</v>
      </c>
      <c r="BW16" s="8">
        <f t="shared" si="7"/>
        <v>0</v>
      </c>
      <c r="BX16" s="8">
        <f t="shared" si="7"/>
        <v>0</v>
      </c>
      <c r="BY16" s="8">
        <f t="shared" si="8"/>
        <v>0</v>
      </c>
      <c r="BZ16" s="8">
        <f t="shared" si="8"/>
        <v>0</v>
      </c>
      <c r="CA16" s="8">
        <f t="shared" si="8"/>
        <v>0</v>
      </c>
      <c r="CB16" s="8">
        <f t="shared" si="8"/>
        <v>0</v>
      </c>
      <c r="CC16" s="8">
        <f t="shared" si="8"/>
        <v>0</v>
      </c>
      <c r="CD16" s="8">
        <f t="shared" si="8"/>
        <v>0</v>
      </c>
      <c r="CE16" s="8">
        <f t="shared" si="8"/>
        <v>0</v>
      </c>
      <c r="CF16" s="8">
        <f t="shared" si="8"/>
        <v>0</v>
      </c>
      <c r="CG16" s="8">
        <f t="shared" si="8"/>
        <v>0</v>
      </c>
      <c r="CH16" s="8">
        <f t="shared" si="8"/>
        <v>0</v>
      </c>
      <c r="CI16" s="8">
        <f t="shared" si="8"/>
        <v>0</v>
      </c>
      <c r="CJ16" s="8">
        <f t="shared" si="8"/>
        <v>0</v>
      </c>
      <c r="CK16" s="29">
        <f t="shared" si="8"/>
        <v>0</v>
      </c>
      <c r="CN16" s="8">
        <v>6.5</v>
      </c>
      <c r="CO16" s="16">
        <v>0.05</v>
      </c>
      <c r="CP16" s="16">
        <v>-1.8350528341953182E-2</v>
      </c>
      <c r="CQ16" s="16">
        <v>7.5632569575117574E-3</v>
      </c>
      <c r="CR16" s="16">
        <v>1.0459020963485556E-2</v>
      </c>
      <c r="CS16" s="16">
        <f t="shared" si="14"/>
        <v>4.9671749579044133E-2</v>
      </c>
    </row>
    <row r="17" spans="1:100" x14ac:dyDescent="0.45">
      <c r="A17" s="7"/>
      <c r="B17" s="57"/>
      <c r="C17" s="17"/>
      <c r="D17" s="17">
        <f t="shared" si="0"/>
        <v>0</v>
      </c>
      <c r="E17" s="17">
        <f t="shared" si="9"/>
        <v>0</v>
      </c>
      <c r="F17" s="17">
        <f t="shared" si="1"/>
        <v>0</v>
      </c>
      <c r="G17" s="18">
        <f t="shared" si="10"/>
        <v>0</v>
      </c>
      <c r="H17" s="18">
        <f>IFERROR(IRR((J17,L17:CK17),0),0)</f>
        <v>0</v>
      </c>
      <c r="I17" s="52">
        <f t="shared" si="2"/>
        <v>0</v>
      </c>
      <c r="J17" s="17">
        <f t="shared" si="13"/>
        <v>0</v>
      </c>
      <c r="K17" s="28">
        <f t="shared" si="3"/>
        <v>0</v>
      </c>
      <c r="L17" s="8">
        <f t="shared" si="11"/>
        <v>0</v>
      </c>
      <c r="M17" s="8">
        <f t="shared" si="11"/>
        <v>0</v>
      </c>
      <c r="N17" s="8">
        <f t="shared" si="11"/>
        <v>0</v>
      </c>
      <c r="O17" s="8">
        <f t="shared" si="11"/>
        <v>0</v>
      </c>
      <c r="P17" s="8">
        <f t="shared" si="11"/>
        <v>0</v>
      </c>
      <c r="Q17" s="8">
        <f t="shared" si="11"/>
        <v>0</v>
      </c>
      <c r="R17" s="8">
        <f t="shared" si="11"/>
        <v>0</v>
      </c>
      <c r="S17" s="8">
        <f t="shared" si="11"/>
        <v>0</v>
      </c>
      <c r="T17" s="8">
        <f t="shared" si="11"/>
        <v>0</v>
      </c>
      <c r="U17" s="8">
        <f t="shared" si="11"/>
        <v>0</v>
      </c>
      <c r="V17" s="8">
        <f t="shared" si="4"/>
        <v>0</v>
      </c>
      <c r="W17" s="8">
        <f t="shared" si="4"/>
        <v>0</v>
      </c>
      <c r="X17" s="8">
        <f t="shared" si="4"/>
        <v>0</v>
      </c>
      <c r="Y17" s="8">
        <f t="shared" si="4"/>
        <v>0</v>
      </c>
      <c r="Z17" s="8">
        <f t="shared" si="4"/>
        <v>0</v>
      </c>
      <c r="AA17" s="8">
        <f t="shared" si="4"/>
        <v>0</v>
      </c>
      <c r="AB17" s="8">
        <f t="shared" si="4"/>
        <v>0</v>
      </c>
      <c r="AC17" s="8">
        <f t="shared" si="5"/>
        <v>0</v>
      </c>
      <c r="AD17" s="8">
        <f t="shared" si="5"/>
        <v>0</v>
      </c>
      <c r="AE17" s="8">
        <f t="shared" si="5"/>
        <v>0</v>
      </c>
      <c r="AF17" s="8">
        <f t="shared" si="5"/>
        <v>0</v>
      </c>
      <c r="AG17" s="8">
        <f t="shared" si="5"/>
        <v>0</v>
      </c>
      <c r="AH17" s="8">
        <f t="shared" si="5"/>
        <v>0</v>
      </c>
      <c r="AI17" s="8">
        <f t="shared" si="5"/>
        <v>0</v>
      </c>
      <c r="AJ17" s="8">
        <f t="shared" si="5"/>
        <v>0</v>
      </c>
      <c r="AK17" s="8">
        <f t="shared" si="5"/>
        <v>0</v>
      </c>
      <c r="AL17" s="8">
        <f t="shared" si="5"/>
        <v>0</v>
      </c>
      <c r="AM17" s="8">
        <f t="shared" si="5"/>
        <v>0</v>
      </c>
      <c r="AN17" s="8">
        <f t="shared" si="5"/>
        <v>0</v>
      </c>
      <c r="AO17" s="8">
        <f t="shared" si="5"/>
        <v>0</v>
      </c>
      <c r="AP17" s="8">
        <f t="shared" si="5"/>
        <v>0</v>
      </c>
      <c r="AQ17" s="8">
        <f t="shared" si="5"/>
        <v>0</v>
      </c>
      <c r="AR17" s="8">
        <f t="shared" si="5"/>
        <v>0</v>
      </c>
      <c r="AS17" s="8">
        <f t="shared" si="6"/>
        <v>0</v>
      </c>
      <c r="AT17" s="8">
        <f t="shared" si="6"/>
        <v>0</v>
      </c>
      <c r="AU17" s="8">
        <f t="shared" si="6"/>
        <v>0</v>
      </c>
      <c r="AV17" s="8">
        <f t="shared" si="6"/>
        <v>0</v>
      </c>
      <c r="AW17" s="8">
        <f t="shared" si="6"/>
        <v>0</v>
      </c>
      <c r="AX17" s="8">
        <f t="shared" si="6"/>
        <v>0</v>
      </c>
      <c r="AY17" s="8">
        <f t="shared" si="6"/>
        <v>0</v>
      </c>
      <c r="AZ17" s="8">
        <f t="shared" si="6"/>
        <v>0</v>
      </c>
      <c r="BA17" s="8">
        <f t="shared" si="6"/>
        <v>0</v>
      </c>
      <c r="BB17" s="8">
        <f t="shared" si="6"/>
        <v>0</v>
      </c>
      <c r="BC17" s="8">
        <f t="shared" si="6"/>
        <v>0</v>
      </c>
      <c r="BD17" s="8">
        <f t="shared" si="6"/>
        <v>0</v>
      </c>
      <c r="BE17" s="8">
        <f t="shared" si="6"/>
        <v>0</v>
      </c>
      <c r="BF17" s="8">
        <f t="shared" si="6"/>
        <v>0</v>
      </c>
      <c r="BG17" s="8">
        <f t="shared" si="6"/>
        <v>0</v>
      </c>
      <c r="BH17" s="8">
        <f t="shared" si="6"/>
        <v>0</v>
      </c>
      <c r="BI17" s="8">
        <f t="shared" si="7"/>
        <v>0</v>
      </c>
      <c r="BJ17" s="8">
        <f t="shared" si="7"/>
        <v>0</v>
      </c>
      <c r="BK17" s="8">
        <f t="shared" si="7"/>
        <v>0</v>
      </c>
      <c r="BL17" s="8">
        <f t="shared" si="7"/>
        <v>0</v>
      </c>
      <c r="BM17" s="8">
        <f t="shared" si="7"/>
        <v>0</v>
      </c>
      <c r="BN17" s="8">
        <f t="shared" si="7"/>
        <v>0</v>
      </c>
      <c r="BO17" s="8">
        <f t="shared" si="7"/>
        <v>0</v>
      </c>
      <c r="BP17" s="8">
        <f t="shared" si="7"/>
        <v>0</v>
      </c>
      <c r="BQ17" s="8">
        <f t="shared" si="7"/>
        <v>0</v>
      </c>
      <c r="BR17" s="8">
        <f t="shared" si="7"/>
        <v>0</v>
      </c>
      <c r="BS17" s="8">
        <f t="shared" si="7"/>
        <v>0</v>
      </c>
      <c r="BT17" s="8">
        <f t="shared" si="7"/>
        <v>0</v>
      </c>
      <c r="BU17" s="8">
        <f t="shared" si="7"/>
        <v>0</v>
      </c>
      <c r="BV17" s="8">
        <f t="shared" si="7"/>
        <v>0</v>
      </c>
      <c r="BW17" s="8">
        <f t="shared" si="7"/>
        <v>0</v>
      </c>
      <c r="BX17" s="8">
        <f t="shared" si="7"/>
        <v>0</v>
      </c>
      <c r="BY17" s="8">
        <f t="shared" si="8"/>
        <v>0</v>
      </c>
      <c r="BZ17" s="8">
        <f t="shared" si="8"/>
        <v>0</v>
      </c>
      <c r="CA17" s="8">
        <f t="shared" si="8"/>
        <v>0</v>
      </c>
      <c r="CB17" s="8">
        <f t="shared" si="8"/>
        <v>0</v>
      </c>
      <c r="CC17" s="8">
        <f t="shared" si="8"/>
        <v>0</v>
      </c>
      <c r="CD17" s="8">
        <f t="shared" si="8"/>
        <v>0</v>
      </c>
      <c r="CE17" s="8">
        <f t="shared" si="8"/>
        <v>0</v>
      </c>
      <c r="CF17" s="8">
        <f t="shared" si="8"/>
        <v>0</v>
      </c>
      <c r="CG17" s="8">
        <f t="shared" si="8"/>
        <v>0</v>
      </c>
      <c r="CH17" s="8">
        <f t="shared" si="8"/>
        <v>0</v>
      </c>
      <c r="CI17" s="8">
        <f t="shared" si="8"/>
        <v>0</v>
      </c>
      <c r="CJ17" s="8">
        <f t="shared" si="8"/>
        <v>0</v>
      </c>
      <c r="CK17" s="29">
        <f t="shared" si="8"/>
        <v>0</v>
      </c>
      <c r="CN17" s="8">
        <v>7</v>
      </c>
      <c r="CO17" s="16">
        <v>0.05</v>
      </c>
      <c r="CP17" s="16">
        <v>-1.8110184252453646E-2</v>
      </c>
      <c r="CQ17" s="16">
        <v>7.998504330191036E-3</v>
      </c>
      <c r="CR17" s="16">
        <v>1.1172184335712725E-2</v>
      </c>
      <c r="CS17" s="16">
        <f t="shared" si="14"/>
        <v>5.1060504413450121E-2</v>
      </c>
    </row>
    <row r="18" spans="1:100" x14ac:dyDescent="0.45">
      <c r="A18" s="7"/>
      <c r="B18" s="57"/>
      <c r="C18" s="17"/>
      <c r="D18" s="17">
        <f t="shared" si="0"/>
        <v>0</v>
      </c>
      <c r="E18" s="17">
        <f t="shared" si="9"/>
        <v>0</v>
      </c>
      <c r="F18" s="17">
        <f t="shared" si="1"/>
        <v>0</v>
      </c>
      <c r="G18" s="18">
        <f t="shared" si="10"/>
        <v>0</v>
      </c>
      <c r="H18" s="18">
        <f>IFERROR(IRR((J18,L18:CK18),0),0)</f>
        <v>0</v>
      </c>
      <c r="I18" s="52">
        <f t="shared" si="2"/>
        <v>0</v>
      </c>
      <c r="J18" s="17">
        <f t="shared" si="13"/>
        <v>0</v>
      </c>
      <c r="K18" s="28">
        <f t="shared" si="3"/>
        <v>0</v>
      </c>
      <c r="L18" s="8">
        <f t="shared" si="11"/>
        <v>0</v>
      </c>
      <c r="M18" s="8">
        <f t="shared" si="11"/>
        <v>0</v>
      </c>
      <c r="N18" s="8">
        <f t="shared" si="11"/>
        <v>0</v>
      </c>
      <c r="O18" s="8">
        <f t="shared" si="11"/>
        <v>0</v>
      </c>
      <c r="P18" s="8">
        <f t="shared" si="11"/>
        <v>0</v>
      </c>
      <c r="Q18" s="8">
        <f t="shared" si="11"/>
        <v>0</v>
      </c>
      <c r="R18" s="8">
        <f t="shared" si="11"/>
        <v>0</v>
      </c>
      <c r="S18" s="8">
        <f t="shared" si="11"/>
        <v>0</v>
      </c>
      <c r="T18" s="8">
        <f t="shared" si="11"/>
        <v>0</v>
      </c>
      <c r="U18" s="8">
        <f t="shared" si="11"/>
        <v>0</v>
      </c>
      <c r="V18" s="8">
        <f t="shared" si="4"/>
        <v>0</v>
      </c>
      <c r="W18" s="8">
        <f t="shared" si="4"/>
        <v>0</v>
      </c>
      <c r="X18" s="8">
        <f t="shared" si="4"/>
        <v>0</v>
      </c>
      <c r="Y18" s="8">
        <f t="shared" si="4"/>
        <v>0</v>
      </c>
      <c r="Z18" s="8">
        <f t="shared" si="4"/>
        <v>0</v>
      </c>
      <c r="AA18" s="8">
        <f t="shared" si="4"/>
        <v>0</v>
      </c>
      <c r="AB18" s="8">
        <f t="shared" si="4"/>
        <v>0</v>
      </c>
      <c r="AC18" s="8">
        <f t="shared" si="5"/>
        <v>0</v>
      </c>
      <c r="AD18" s="8">
        <f t="shared" si="5"/>
        <v>0</v>
      </c>
      <c r="AE18" s="8">
        <f t="shared" si="5"/>
        <v>0</v>
      </c>
      <c r="AF18" s="8">
        <f t="shared" si="5"/>
        <v>0</v>
      </c>
      <c r="AG18" s="8">
        <f t="shared" si="5"/>
        <v>0</v>
      </c>
      <c r="AH18" s="8">
        <f t="shared" si="5"/>
        <v>0</v>
      </c>
      <c r="AI18" s="8">
        <f t="shared" si="5"/>
        <v>0</v>
      </c>
      <c r="AJ18" s="8">
        <f t="shared" si="5"/>
        <v>0</v>
      </c>
      <c r="AK18" s="8">
        <f t="shared" si="5"/>
        <v>0</v>
      </c>
      <c r="AL18" s="8">
        <f t="shared" si="5"/>
        <v>0</v>
      </c>
      <c r="AM18" s="8">
        <f t="shared" si="5"/>
        <v>0</v>
      </c>
      <c r="AN18" s="8">
        <f t="shared" si="5"/>
        <v>0</v>
      </c>
      <c r="AO18" s="8">
        <f t="shared" si="5"/>
        <v>0</v>
      </c>
      <c r="AP18" s="8">
        <f t="shared" si="5"/>
        <v>0</v>
      </c>
      <c r="AQ18" s="8">
        <f t="shared" si="5"/>
        <v>0</v>
      </c>
      <c r="AR18" s="8">
        <f t="shared" ref="AP18:BE33" si="15">$B18*100*(AR$2&lt;$A18)+100*(1+$B18)*(AR$2=$A18)</f>
        <v>0</v>
      </c>
      <c r="AS18" s="8">
        <f t="shared" si="15"/>
        <v>0</v>
      </c>
      <c r="AT18" s="8">
        <f t="shared" si="15"/>
        <v>0</v>
      </c>
      <c r="AU18" s="8">
        <f t="shared" si="15"/>
        <v>0</v>
      </c>
      <c r="AV18" s="8">
        <f t="shared" si="15"/>
        <v>0</v>
      </c>
      <c r="AW18" s="8">
        <f t="shared" si="15"/>
        <v>0</v>
      </c>
      <c r="AX18" s="8">
        <f t="shared" si="15"/>
        <v>0</v>
      </c>
      <c r="AY18" s="8">
        <f t="shared" si="15"/>
        <v>0</v>
      </c>
      <c r="AZ18" s="8">
        <f t="shared" si="6"/>
        <v>0</v>
      </c>
      <c r="BA18" s="8">
        <f t="shared" si="6"/>
        <v>0</v>
      </c>
      <c r="BB18" s="8">
        <f t="shared" si="6"/>
        <v>0</v>
      </c>
      <c r="BC18" s="8">
        <f t="shared" si="6"/>
        <v>0</v>
      </c>
      <c r="BD18" s="8">
        <f t="shared" si="6"/>
        <v>0</v>
      </c>
      <c r="BE18" s="8">
        <f t="shared" si="6"/>
        <v>0</v>
      </c>
      <c r="BF18" s="8">
        <f t="shared" si="6"/>
        <v>0</v>
      </c>
      <c r="BG18" s="8">
        <f t="shared" si="6"/>
        <v>0</v>
      </c>
      <c r="BH18" s="8">
        <f t="shared" si="6"/>
        <v>0</v>
      </c>
      <c r="BI18" s="8">
        <f t="shared" si="7"/>
        <v>0</v>
      </c>
      <c r="BJ18" s="8">
        <f t="shared" si="7"/>
        <v>0</v>
      </c>
      <c r="BK18" s="8">
        <f t="shared" si="7"/>
        <v>0</v>
      </c>
      <c r="BL18" s="8">
        <f t="shared" si="7"/>
        <v>0</v>
      </c>
      <c r="BM18" s="8">
        <f t="shared" si="7"/>
        <v>0</v>
      </c>
      <c r="BN18" s="8">
        <f t="shared" si="7"/>
        <v>0</v>
      </c>
      <c r="BO18" s="8">
        <f t="shared" si="7"/>
        <v>0</v>
      </c>
      <c r="BP18" s="8">
        <f t="shared" si="7"/>
        <v>0</v>
      </c>
      <c r="BQ18" s="8">
        <f t="shared" si="7"/>
        <v>0</v>
      </c>
      <c r="BR18" s="8">
        <f t="shared" si="7"/>
        <v>0</v>
      </c>
      <c r="BS18" s="8">
        <f t="shared" si="7"/>
        <v>0</v>
      </c>
      <c r="BT18" s="8">
        <f t="shared" si="7"/>
        <v>0</v>
      </c>
      <c r="BU18" s="8">
        <f t="shared" si="7"/>
        <v>0</v>
      </c>
      <c r="BV18" s="8">
        <f t="shared" si="7"/>
        <v>0</v>
      </c>
      <c r="BW18" s="8">
        <f t="shared" si="7"/>
        <v>0</v>
      </c>
      <c r="BX18" s="8">
        <f t="shared" ref="BT18:CI33" si="16">$B18*100*(BX$2&lt;$A18)+100*(1+$B18)*(BX$2=$A18)</f>
        <v>0</v>
      </c>
      <c r="BY18" s="8">
        <f t="shared" si="16"/>
        <v>0</v>
      </c>
      <c r="BZ18" s="8">
        <f t="shared" si="16"/>
        <v>0</v>
      </c>
      <c r="CA18" s="8">
        <f t="shared" si="16"/>
        <v>0</v>
      </c>
      <c r="CB18" s="8">
        <f t="shared" si="16"/>
        <v>0</v>
      </c>
      <c r="CC18" s="8">
        <f t="shared" si="16"/>
        <v>0</v>
      </c>
      <c r="CD18" s="8">
        <f t="shared" si="8"/>
        <v>0</v>
      </c>
      <c r="CE18" s="8">
        <f t="shared" si="8"/>
        <v>0</v>
      </c>
      <c r="CF18" s="8">
        <f t="shared" si="8"/>
        <v>0</v>
      </c>
      <c r="CG18" s="8">
        <f t="shared" si="8"/>
        <v>0</v>
      </c>
      <c r="CH18" s="8">
        <f t="shared" si="8"/>
        <v>0</v>
      </c>
      <c r="CI18" s="8">
        <f t="shared" si="8"/>
        <v>0</v>
      </c>
      <c r="CJ18" s="8">
        <f t="shared" si="8"/>
        <v>0</v>
      </c>
      <c r="CK18" s="29">
        <f t="shared" si="8"/>
        <v>0</v>
      </c>
      <c r="CN18" s="8">
        <v>7.5</v>
      </c>
      <c r="CO18" s="16">
        <v>0.05</v>
      </c>
      <c r="CP18" s="16">
        <v>-1.7874158882326921E-2</v>
      </c>
      <c r="CQ18" s="16">
        <v>8.4160307807259731E-3</v>
      </c>
      <c r="CR18" s="16">
        <v>1.1873191747703002E-2</v>
      </c>
      <c r="CS18" s="16">
        <f t="shared" si="14"/>
        <v>5.2415063646102059E-2</v>
      </c>
    </row>
    <row r="19" spans="1:100" x14ac:dyDescent="0.45">
      <c r="A19" s="7"/>
      <c r="B19" s="57"/>
      <c r="C19" s="17"/>
      <c r="D19" s="17">
        <f t="shared" si="0"/>
        <v>0</v>
      </c>
      <c r="E19" s="17">
        <f t="shared" si="9"/>
        <v>0</v>
      </c>
      <c r="F19" s="17">
        <f t="shared" si="1"/>
        <v>0</v>
      </c>
      <c r="G19" s="18">
        <f t="shared" si="10"/>
        <v>0</v>
      </c>
      <c r="H19" s="18">
        <f>IFERROR(IRR((J19,L19:CK19),0),0)</f>
        <v>0</v>
      </c>
      <c r="I19" s="52">
        <f t="shared" si="2"/>
        <v>0</v>
      </c>
      <c r="J19" s="17">
        <f t="shared" si="13"/>
        <v>0</v>
      </c>
      <c r="K19" s="28">
        <f t="shared" si="3"/>
        <v>0</v>
      </c>
      <c r="L19" s="8">
        <f t="shared" si="11"/>
        <v>0</v>
      </c>
      <c r="M19" s="8">
        <f t="shared" si="11"/>
        <v>0</v>
      </c>
      <c r="N19" s="8">
        <f t="shared" si="11"/>
        <v>0</v>
      </c>
      <c r="O19" s="8">
        <f t="shared" si="11"/>
        <v>0</v>
      </c>
      <c r="P19" s="8">
        <f t="shared" si="11"/>
        <v>0</v>
      </c>
      <c r="Q19" s="8">
        <f t="shared" si="11"/>
        <v>0</v>
      </c>
      <c r="R19" s="8">
        <f t="shared" si="11"/>
        <v>0</v>
      </c>
      <c r="S19" s="8">
        <f t="shared" si="11"/>
        <v>0</v>
      </c>
      <c r="T19" s="8">
        <f t="shared" si="11"/>
        <v>0</v>
      </c>
      <c r="U19" s="8">
        <f t="shared" si="11"/>
        <v>0</v>
      </c>
      <c r="V19" s="8">
        <f t="shared" si="11"/>
        <v>0</v>
      </c>
      <c r="W19" s="8">
        <f t="shared" si="11"/>
        <v>0</v>
      </c>
      <c r="X19" s="8">
        <f t="shared" si="11"/>
        <v>0</v>
      </c>
      <c r="Y19" s="8">
        <f t="shared" si="11"/>
        <v>0</v>
      </c>
      <c r="Z19" s="8">
        <f t="shared" si="11"/>
        <v>0</v>
      </c>
      <c r="AA19" s="8">
        <f t="shared" si="11"/>
        <v>0</v>
      </c>
      <c r="AB19" s="8">
        <f t="shared" ref="AB19:AQ34" si="17">$B19*100*(AB$2&lt;$A19)+100*(1+$B19)*(AB$2=$A19)</f>
        <v>0</v>
      </c>
      <c r="AC19" s="8">
        <f t="shared" si="17"/>
        <v>0</v>
      </c>
      <c r="AD19" s="8">
        <f t="shared" si="17"/>
        <v>0</v>
      </c>
      <c r="AE19" s="8">
        <f t="shared" si="17"/>
        <v>0</v>
      </c>
      <c r="AF19" s="8">
        <f t="shared" si="17"/>
        <v>0</v>
      </c>
      <c r="AG19" s="8">
        <f t="shared" si="17"/>
        <v>0</v>
      </c>
      <c r="AH19" s="8">
        <f t="shared" si="17"/>
        <v>0</v>
      </c>
      <c r="AI19" s="8">
        <f t="shared" si="17"/>
        <v>0</v>
      </c>
      <c r="AJ19" s="8">
        <f t="shared" si="17"/>
        <v>0</v>
      </c>
      <c r="AK19" s="8">
        <f t="shared" si="17"/>
        <v>0</v>
      </c>
      <c r="AL19" s="8">
        <f t="shared" si="17"/>
        <v>0</v>
      </c>
      <c r="AM19" s="8">
        <f t="shared" si="17"/>
        <v>0</v>
      </c>
      <c r="AN19" s="8">
        <f t="shared" si="17"/>
        <v>0</v>
      </c>
      <c r="AO19" s="8">
        <f t="shared" si="17"/>
        <v>0</v>
      </c>
      <c r="AP19" s="8">
        <f t="shared" si="15"/>
        <v>0</v>
      </c>
      <c r="AQ19" s="8">
        <f t="shared" si="15"/>
        <v>0</v>
      </c>
      <c r="AR19" s="8">
        <f t="shared" si="15"/>
        <v>0</v>
      </c>
      <c r="AS19" s="8">
        <f t="shared" si="15"/>
        <v>0</v>
      </c>
      <c r="AT19" s="8">
        <f t="shared" si="15"/>
        <v>0</v>
      </c>
      <c r="AU19" s="8">
        <f t="shared" si="15"/>
        <v>0</v>
      </c>
      <c r="AV19" s="8">
        <f t="shared" si="15"/>
        <v>0</v>
      </c>
      <c r="AW19" s="8">
        <f t="shared" si="15"/>
        <v>0</v>
      </c>
      <c r="AX19" s="8">
        <f t="shared" si="15"/>
        <v>0</v>
      </c>
      <c r="AY19" s="8">
        <f t="shared" si="15"/>
        <v>0</v>
      </c>
      <c r="AZ19" s="8">
        <f t="shared" si="15"/>
        <v>0</v>
      </c>
      <c r="BA19" s="8">
        <f t="shared" si="15"/>
        <v>0</v>
      </c>
      <c r="BB19" s="8">
        <f t="shared" si="15"/>
        <v>0</v>
      </c>
      <c r="BC19" s="8">
        <f t="shared" si="15"/>
        <v>0</v>
      </c>
      <c r="BD19" s="8">
        <f t="shared" si="15"/>
        <v>0</v>
      </c>
      <c r="BE19" s="8">
        <f t="shared" si="15"/>
        <v>0</v>
      </c>
      <c r="BF19" s="8">
        <f t="shared" ref="BF19:BU34" si="18">$B19*100*(BF$2&lt;$A19)+100*(1+$B19)*(BF$2=$A19)</f>
        <v>0</v>
      </c>
      <c r="BG19" s="8">
        <f t="shared" si="18"/>
        <v>0</v>
      </c>
      <c r="BH19" s="8">
        <f t="shared" si="18"/>
        <v>0</v>
      </c>
      <c r="BI19" s="8">
        <f t="shared" si="18"/>
        <v>0</v>
      </c>
      <c r="BJ19" s="8">
        <f t="shared" si="18"/>
        <v>0</v>
      </c>
      <c r="BK19" s="8">
        <f t="shared" si="18"/>
        <v>0</v>
      </c>
      <c r="BL19" s="8">
        <f t="shared" si="18"/>
        <v>0</v>
      </c>
      <c r="BM19" s="8">
        <f t="shared" si="18"/>
        <v>0</v>
      </c>
      <c r="BN19" s="8">
        <f t="shared" si="18"/>
        <v>0</v>
      </c>
      <c r="BO19" s="8">
        <f t="shared" si="18"/>
        <v>0</v>
      </c>
      <c r="BP19" s="8">
        <f t="shared" si="18"/>
        <v>0</v>
      </c>
      <c r="BQ19" s="8">
        <f t="shared" si="18"/>
        <v>0</v>
      </c>
      <c r="BR19" s="8">
        <f t="shared" si="18"/>
        <v>0</v>
      </c>
      <c r="BS19" s="8">
        <f t="shared" si="18"/>
        <v>0</v>
      </c>
      <c r="BT19" s="8">
        <f t="shared" si="16"/>
        <v>0</v>
      </c>
      <c r="BU19" s="8">
        <f t="shared" si="16"/>
        <v>0</v>
      </c>
      <c r="BV19" s="8">
        <f t="shared" si="16"/>
        <v>0</v>
      </c>
      <c r="BW19" s="8">
        <f t="shared" si="16"/>
        <v>0</v>
      </c>
      <c r="BX19" s="8">
        <f t="shared" si="16"/>
        <v>0</v>
      </c>
      <c r="BY19" s="8">
        <f t="shared" si="16"/>
        <v>0</v>
      </c>
      <c r="BZ19" s="8">
        <f t="shared" si="16"/>
        <v>0</v>
      </c>
      <c r="CA19" s="8">
        <f t="shared" si="16"/>
        <v>0</v>
      </c>
      <c r="CB19" s="8">
        <f t="shared" si="16"/>
        <v>0</v>
      </c>
      <c r="CC19" s="8">
        <f t="shared" si="16"/>
        <v>0</v>
      </c>
      <c r="CD19" s="8">
        <f t="shared" si="16"/>
        <v>0</v>
      </c>
      <c r="CE19" s="8">
        <f t="shared" si="16"/>
        <v>0</v>
      </c>
      <c r="CF19" s="8">
        <f t="shared" si="16"/>
        <v>0</v>
      </c>
      <c r="CG19" s="8">
        <f t="shared" si="16"/>
        <v>0</v>
      </c>
      <c r="CH19" s="8">
        <f t="shared" si="16"/>
        <v>0</v>
      </c>
      <c r="CI19" s="8">
        <f t="shared" si="16"/>
        <v>0</v>
      </c>
      <c r="CJ19" s="8">
        <f t="shared" ref="CD19:CK34" si="19">$B19*100*(CJ$2&lt;$A19)+100*(1+$B19)*(CJ$2=$A19)</f>
        <v>0</v>
      </c>
      <c r="CK19" s="29">
        <f t="shared" si="19"/>
        <v>0</v>
      </c>
      <c r="CN19" s="8">
        <v>8</v>
      </c>
      <c r="CO19" s="16">
        <v>0.05</v>
      </c>
      <c r="CP19" s="16">
        <v>-1.7642363904572168E-2</v>
      </c>
      <c r="CQ19" s="16">
        <v>8.8164037697920066E-3</v>
      </c>
      <c r="CR19" s="16">
        <v>1.2562213379126363E-2</v>
      </c>
      <c r="CS19" s="16">
        <f t="shared" si="14"/>
        <v>5.3736253244346208E-2</v>
      </c>
    </row>
    <row r="20" spans="1:100" x14ac:dyDescent="0.45">
      <c r="A20" s="7"/>
      <c r="B20" s="57"/>
      <c r="C20" s="17"/>
      <c r="D20" s="17">
        <f t="shared" si="0"/>
        <v>0</v>
      </c>
      <c r="E20" s="17">
        <f t="shared" si="9"/>
        <v>0</v>
      </c>
      <c r="F20" s="17">
        <f t="shared" si="1"/>
        <v>0</v>
      </c>
      <c r="G20" s="18">
        <f t="shared" si="10"/>
        <v>0</v>
      </c>
      <c r="H20" s="18">
        <f>IFERROR(IRR((J20,L20:CK20),0),0)</f>
        <v>0</v>
      </c>
      <c r="I20" s="52">
        <f t="shared" si="2"/>
        <v>0</v>
      </c>
      <c r="J20" s="17">
        <f t="shared" si="13"/>
        <v>0</v>
      </c>
      <c r="K20" s="28">
        <f t="shared" si="3"/>
        <v>0</v>
      </c>
      <c r="L20" s="8">
        <f t="shared" ref="L20:AA35" si="20">$B20*100*(L$2&lt;$A20)+100*(1+$B20)*(L$2=$A20)</f>
        <v>0</v>
      </c>
      <c r="M20" s="8">
        <f t="shared" si="20"/>
        <v>0</v>
      </c>
      <c r="N20" s="8">
        <f t="shared" si="20"/>
        <v>0</v>
      </c>
      <c r="O20" s="8">
        <f t="shared" si="20"/>
        <v>0</v>
      </c>
      <c r="P20" s="8">
        <f t="shared" si="20"/>
        <v>0</v>
      </c>
      <c r="Q20" s="8">
        <f t="shared" si="20"/>
        <v>0</v>
      </c>
      <c r="R20" s="8">
        <f t="shared" si="20"/>
        <v>0</v>
      </c>
      <c r="S20" s="8">
        <f t="shared" si="20"/>
        <v>0</v>
      </c>
      <c r="T20" s="8">
        <f t="shared" si="20"/>
        <v>0</v>
      </c>
      <c r="U20" s="8">
        <f t="shared" si="20"/>
        <v>0</v>
      </c>
      <c r="V20" s="8">
        <f t="shared" si="20"/>
        <v>0</v>
      </c>
      <c r="W20" s="8">
        <f t="shared" si="20"/>
        <v>0</v>
      </c>
      <c r="X20" s="8">
        <f t="shared" si="20"/>
        <v>0</v>
      </c>
      <c r="Y20" s="8">
        <f t="shared" si="20"/>
        <v>0</v>
      </c>
      <c r="Z20" s="8">
        <f t="shared" si="20"/>
        <v>0</v>
      </c>
      <c r="AA20" s="8">
        <f t="shared" si="20"/>
        <v>0</v>
      </c>
      <c r="AB20" s="8">
        <f t="shared" si="17"/>
        <v>0</v>
      </c>
      <c r="AC20" s="8">
        <f t="shared" si="17"/>
        <v>0</v>
      </c>
      <c r="AD20" s="8">
        <f t="shared" si="17"/>
        <v>0</v>
      </c>
      <c r="AE20" s="8">
        <f t="shared" si="17"/>
        <v>0</v>
      </c>
      <c r="AF20" s="8">
        <f t="shared" si="17"/>
        <v>0</v>
      </c>
      <c r="AG20" s="8">
        <f t="shared" si="17"/>
        <v>0</v>
      </c>
      <c r="AH20" s="8">
        <f t="shared" si="17"/>
        <v>0</v>
      </c>
      <c r="AI20" s="8">
        <f t="shared" si="17"/>
        <v>0</v>
      </c>
      <c r="AJ20" s="8">
        <f t="shared" si="17"/>
        <v>0</v>
      </c>
      <c r="AK20" s="8">
        <f t="shared" si="17"/>
        <v>0</v>
      </c>
      <c r="AL20" s="8">
        <f t="shared" si="17"/>
        <v>0</v>
      </c>
      <c r="AM20" s="8">
        <f t="shared" si="17"/>
        <v>0</v>
      </c>
      <c r="AN20" s="8">
        <f t="shared" si="17"/>
        <v>0</v>
      </c>
      <c r="AO20" s="8">
        <f t="shared" si="17"/>
        <v>0</v>
      </c>
      <c r="AP20" s="8">
        <f t="shared" si="15"/>
        <v>0</v>
      </c>
      <c r="AQ20" s="8">
        <f t="shared" si="15"/>
        <v>0</v>
      </c>
      <c r="AR20" s="8">
        <f t="shared" si="15"/>
        <v>0</v>
      </c>
      <c r="AS20" s="8">
        <f t="shared" si="15"/>
        <v>0</v>
      </c>
      <c r="AT20" s="8">
        <f t="shared" si="15"/>
        <v>0</v>
      </c>
      <c r="AU20" s="8">
        <f t="shared" si="15"/>
        <v>0</v>
      </c>
      <c r="AV20" s="8">
        <f t="shared" si="15"/>
        <v>0</v>
      </c>
      <c r="AW20" s="8">
        <f t="shared" si="15"/>
        <v>0</v>
      </c>
      <c r="AX20" s="8">
        <f t="shared" si="15"/>
        <v>0</v>
      </c>
      <c r="AY20" s="8">
        <f t="shared" si="15"/>
        <v>0</v>
      </c>
      <c r="AZ20" s="8">
        <f t="shared" si="15"/>
        <v>0</v>
      </c>
      <c r="BA20" s="8">
        <f t="shared" si="15"/>
        <v>0</v>
      </c>
      <c r="BB20" s="8">
        <f t="shared" si="15"/>
        <v>0</v>
      </c>
      <c r="BC20" s="8">
        <f t="shared" si="15"/>
        <v>0</v>
      </c>
      <c r="BD20" s="8">
        <f t="shared" si="15"/>
        <v>0</v>
      </c>
      <c r="BE20" s="8">
        <f t="shared" si="15"/>
        <v>0</v>
      </c>
      <c r="BF20" s="8">
        <f t="shared" si="18"/>
        <v>0</v>
      </c>
      <c r="BG20" s="8">
        <f t="shared" si="18"/>
        <v>0</v>
      </c>
      <c r="BH20" s="8">
        <f t="shared" si="18"/>
        <v>0</v>
      </c>
      <c r="BI20" s="8">
        <f t="shared" si="18"/>
        <v>0</v>
      </c>
      <c r="BJ20" s="8">
        <f t="shared" si="18"/>
        <v>0</v>
      </c>
      <c r="BK20" s="8">
        <f t="shared" si="18"/>
        <v>0</v>
      </c>
      <c r="BL20" s="8">
        <f t="shared" si="18"/>
        <v>0</v>
      </c>
      <c r="BM20" s="8">
        <f t="shared" si="18"/>
        <v>0</v>
      </c>
      <c r="BN20" s="8">
        <f t="shared" si="18"/>
        <v>0</v>
      </c>
      <c r="BO20" s="8">
        <f t="shared" si="18"/>
        <v>0</v>
      </c>
      <c r="BP20" s="8">
        <f t="shared" si="18"/>
        <v>0</v>
      </c>
      <c r="BQ20" s="8">
        <f t="shared" si="18"/>
        <v>0</v>
      </c>
      <c r="BR20" s="8">
        <f t="shared" si="18"/>
        <v>0</v>
      </c>
      <c r="BS20" s="8">
        <f t="shared" si="18"/>
        <v>0</v>
      </c>
      <c r="BT20" s="8">
        <f t="shared" si="16"/>
        <v>0</v>
      </c>
      <c r="BU20" s="8">
        <f t="shared" si="16"/>
        <v>0</v>
      </c>
      <c r="BV20" s="8">
        <f t="shared" si="16"/>
        <v>0</v>
      </c>
      <c r="BW20" s="8">
        <f t="shared" si="16"/>
        <v>0</v>
      </c>
      <c r="BX20" s="8">
        <f t="shared" si="16"/>
        <v>0</v>
      </c>
      <c r="BY20" s="8">
        <f t="shared" si="16"/>
        <v>0</v>
      </c>
      <c r="BZ20" s="8">
        <f t="shared" si="16"/>
        <v>0</v>
      </c>
      <c r="CA20" s="8">
        <f t="shared" si="16"/>
        <v>0</v>
      </c>
      <c r="CB20" s="8">
        <f t="shared" si="16"/>
        <v>0</v>
      </c>
      <c r="CC20" s="8">
        <f t="shared" si="16"/>
        <v>0</v>
      </c>
      <c r="CD20" s="8">
        <f t="shared" si="19"/>
        <v>0</v>
      </c>
      <c r="CE20" s="8">
        <f t="shared" si="19"/>
        <v>0</v>
      </c>
      <c r="CF20" s="8">
        <f t="shared" si="19"/>
        <v>0</v>
      </c>
      <c r="CG20" s="8">
        <f t="shared" si="19"/>
        <v>0</v>
      </c>
      <c r="CH20" s="8">
        <f t="shared" si="19"/>
        <v>0</v>
      </c>
      <c r="CI20" s="8">
        <f t="shared" si="19"/>
        <v>0</v>
      </c>
      <c r="CJ20" s="8">
        <f t="shared" si="19"/>
        <v>0</v>
      </c>
      <c r="CK20" s="29">
        <f t="shared" si="19"/>
        <v>0</v>
      </c>
      <c r="CN20" s="8">
        <v>8.5</v>
      </c>
      <c r="CO20" s="16">
        <v>0.05</v>
      </c>
      <c r="CP20" s="16">
        <v>-1.741471293044046E-2</v>
      </c>
      <c r="CQ20" s="16">
        <v>9.2001737780693389E-3</v>
      </c>
      <c r="CR20" s="16">
        <v>1.3239417163916564E-2</v>
      </c>
      <c r="CS20" s="16">
        <f t="shared" si="14"/>
        <v>5.5024878011545444E-2</v>
      </c>
    </row>
    <row r="21" spans="1:100" x14ac:dyDescent="0.45">
      <c r="A21" s="7"/>
      <c r="B21" s="57"/>
      <c r="C21" s="17"/>
      <c r="D21" s="17">
        <f t="shared" si="0"/>
        <v>0</v>
      </c>
      <c r="E21" s="17">
        <f t="shared" si="9"/>
        <v>0</v>
      </c>
      <c r="F21" s="17">
        <f t="shared" si="1"/>
        <v>0</v>
      </c>
      <c r="G21" s="18">
        <f t="shared" si="10"/>
        <v>0</v>
      </c>
      <c r="H21" s="18">
        <f>IFERROR(IRR((J21,L21:CK21),0),0)</f>
        <v>0</v>
      </c>
      <c r="I21" s="52">
        <f t="shared" si="2"/>
        <v>0</v>
      </c>
      <c r="J21" s="17">
        <f t="shared" si="13"/>
        <v>0</v>
      </c>
      <c r="K21" s="28">
        <f t="shared" si="3"/>
        <v>0</v>
      </c>
      <c r="L21" s="8">
        <f t="shared" si="20"/>
        <v>0</v>
      </c>
      <c r="M21" s="8">
        <f t="shared" si="20"/>
        <v>0</v>
      </c>
      <c r="N21" s="8">
        <f t="shared" si="20"/>
        <v>0</v>
      </c>
      <c r="O21" s="8">
        <f t="shared" si="20"/>
        <v>0</v>
      </c>
      <c r="P21" s="8">
        <f t="shared" si="20"/>
        <v>0</v>
      </c>
      <c r="Q21" s="8">
        <f t="shared" si="20"/>
        <v>0</v>
      </c>
      <c r="R21" s="8">
        <f t="shared" si="20"/>
        <v>0</v>
      </c>
      <c r="S21" s="8">
        <f t="shared" si="20"/>
        <v>0</v>
      </c>
      <c r="T21" s="8">
        <f t="shared" si="20"/>
        <v>0</v>
      </c>
      <c r="U21" s="8">
        <f t="shared" si="20"/>
        <v>0</v>
      </c>
      <c r="V21" s="8">
        <f t="shared" si="20"/>
        <v>0</v>
      </c>
      <c r="W21" s="8">
        <f t="shared" si="20"/>
        <v>0</v>
      </c>
      <c r="X21" s="8">
        <f t="shared" si="20"/>
        <v>0</v>
      </c>
      <c r="Y21" s="8">
        <f t="shared" si="20"/>
        <v>0</v>
      </c>
      <c r="Z21" s="8">
        <f t="shared" si="20"/>
        <v>0</v>
      </c>
      <c r="AA21" s="8">
        <f t="shared" si="20"/>
        <v>0</v>
      </c>
      <c r="AB21" s="8">
        <f t="shared" si="17"/>
        <v>0</v>
      </c>
      <c r="AC21" s="8">
        <f t="shared" si="17"/>
        <v>0</v>
      </c>
      <c r="AD21" s="8">
        <f t="shared" si="17"/>
        <v>0</v>
      </c>
      <c r="AE21" s="8">
        <f t="shared" si="17"/>
        <v>0</v>
      </c>
      <c r="AF21" s="8">
        <f t="shared" si="17"/>
        <v>0</v>
      </c>
      <c r="AG21" s="8">
        <f t="shared" si="17"/>
        <v>0</v>
      </c>
      <c r="AH21" s="8">
        <f t="shared" si="17"/>
        <v>0</v>
      </c>
      <c r="AI21" s="8">
        <f t="shared" si="17"/>
        <v>0</v>
      </c>
      <c r="AJ21" s="8">
        <f t="shared" si="17"/>
        <v>0</v>
      </c>
      <c r="AK21" s="8">
        <f t="shared" si="17"/>
        <v>0</v>
      </c>
      <c r="AL21" s="8">
        <f t="shared" si="17"/>
        <v>0</v>
      </c>
      <c r="AM21" s="8">
        <f t="shared" si="17"/>
        <v>0</v>
      </c>
      <c r="AN21" s="8">
        <f t="shared" si="17"/>
        <v>0</v>
      </c>
      <c r="AO21" s="8">
        <f t="shared" si="17"/>
        <v>0</v>
      </c>
      <c r="AP21" s="8">
        <f t="shared" si="15"/>
        <v>0</v>
      </c>
      <c r="AQ21" s="8">
        <f t="shared" si="15"/>
        <v>0</v>
      </c>
      <c r="AR21" s="8">
        <f t="shared" si="15"/>
        <v>0</v>
      </c>
      <c r="AS21" s="8">
        <f t="shared" si="15"/>
        <v>0</v>
      </c>
      <c r="AT21" s="8">
        <f t="shared" si="15"/>
        <v>0</v>
      </c>
      <c r="AU21" s="8">
        <f t="shared" si="15"/>
        <v>0</v>
      </c>
      <c r="AV21" s="8">
        <f t="shared" si="15"/>
        <v>0</v>
      </c>
      <c r="AW21" s="8">
        <f t="shared" si="15"/>
        <v>0</v>
      </c>
      <c r="AX21" s="8">
        <f t="shared" si="15"/>
        <v>0</v>
      </c>
      <c r="AY21" s="8">
        <f t="shared" si="15"/>
        <v>0</v>
      </c>
      <c r="AZ21" s="8">
        <f t="shared" si="15"/>
        <v>0</v>
      </c>
      <c r="BA21" s="8">
        <f t="shared" si="15"/>
        <v>0</v>
      </c>
      <c r="BB21" s="8">
        <f t="shared" si="15"/>
        <v>0</v>
      </c>
      <c r="BC21" s="8">
        <f t="shared" si="15"/>
        <v>0</v>
      </c>
      <c r="BD21" s="8">
        <f t="shared" si="15"/>
        <v>0</v>
      </c>
      <c r="BE21" s="8">
        <f t="shared" si="15"/>
        <v>0</v>
      </c>
      <c r="BF21" s="8">
        <f t="shared" si="18"/>
        <v>0</v>
      </c>
      <c r="BG21" s="8">
        <f t="shared" si="18"/>
        <v>0</v>
      </c>
      <c r="BH21" s="8">
        <f t="shared" si="18"/>
        <v>0</v>
      </c>
      <c r="BI21" s="8">
        <f t="shared" si="18"/>
        <v>0</v>
      </c>
      <c r="BJ21" s="8">
        <f t="shared" si="18"/>
        <v>0</v>
      </c>
      <c r="BK21" s="8">
        <f t="shared" si="18"/>
        <v>0</v>
      </c>
      <c r="BL21" s="8">
        <f t="shared" si="18"/>
        <v>0</v>
      </c>
      <c r="BM21" s="8">
        <f t="shared" si="18"/>
        <v>0</v>
      </c>
      <c r="BN21" s="8">
        <f t="shared" si="18"/>
        <v>0</v>
      </c>
      <c r="BO21" s="8">
        <f t="shared" si="18"/>
        <v>0</v>
      </c>
      <c r="BP21" s="8">
        <f t="shared" si="18"/>
        <v>0</v>
      </c>
      <c r="BQ21" s="8">
        <f t="shared" si="18"/>
        <v>0</v>
      </c>
      <c r="BR21" s="8">
        <f t="shared" si="18"/>
        <v>0</v>
      </c>
      <c r="BS21" s="8">
        <f t="shared" si="18"/>
        <v>0</v>
      </c>
      <c r="BT21" s="8">
        <f t="shared" si="16"/>
        <v>0</v>
      </c>
      <c r="BU21" s="8">
        <f t="shared" si="16"/>
        <v>0</v>
      </c>
      <c r="BV21" s="8">
        <f t="shared" si="16"/>
        <v>0</v>
      </c>
      <c r="BW21" s="8">
        <f t="shared" si="16"/>
        <v>0</v>
      </c>
      <c r="BX21" s="8">
        <f t="shared" si="16"/>
        <v>0</v>
      </c>
      <c r="BY21" s="8">
        <f t="shared" si="16"/>
        <v>0</v>
      </c>
      <c r="BZ21" s="8">
        <f t="shared" si="16"/>
        <v>0</v>
      </c>
      <c r="CA21" s="8">
        <f t="shared" si="16"/>
        <v>0</v>
      </c>
      <c r="CB21" s="8">
        <f t="shared" si="16"/>
        <v>0</v>
      </c>
      <c r="CC21" s="8">
        <f t="shared" si="16"/>
        <v>0</v>
      </c>
      <c r="CD21" s="8">
        <f t="shared" si="19"/>
        <v>0</v>
      </c>
      <c r="CE21" s="8">
        <f t="shared" si="19"/>
        <v>0</v>
      </c>
      <c r="CF21" s="8">
        <f t="shared" si="19"/>
        <v>0</v>
      </c>
      <c r="CG21" s="8">
        <f t="shared" si="19"/>
        <v>0</v>
      </c>
      <c r="CH21" s="8">
        <f t="shared" si="19"/>
        <v>0</v>
      </c>
      <c r="CI21" s="8">
        <f t="shared" si="19"/>
        <v>0</v>
      </c>
      <c r="CJ21" s="8">
        <f t="shared" si="19"/>
        <v>0</v>
      </c>
      <c r="CK21" s="29">
        <f t="shared" si="19"/>
        <v>0</v>
      </c>
      <c r="CN21" s="8">
        <v>9</v>
      </c>
      <c r="CO21" s="16">
        <v>0.05</v>
      </c>
      <c r="CP21" s="16">
        <v>-1.7191121464980308E-2</v>
      </c>
      <c r="CQ21" s="16">
        <v>9.5678747999012846E-3</v>
      </c>
      <c r="CR21" s="16">
        <v>1.3904968819151623E-2</v>
      </c>
      <c r="CS21" s="16">
        <f t="shared" si="14"/>
        <v>5.6281722154072608E-2</v>
      </c>
    </row>
    <row r="22" spans="1:100" x14ac:dyDescent="0.45">
      <c r="A22" s="7"/>
      <c r="B22" s="57"/>
      <c r="C22" s="17"/>
      <c r="D22" s="17">
        <f t="shared" si="0"/>
        <v>0</v>
      </c>
      <c r="E22" s="17">
        <f t="shared" si="9"/>
        <v>0</v>
      </c>
      <c r="F22" s="17">
        <f t="shared" si="1"/>
        <v>0</v>
      </c>
      <c r="G22" s="18">
        <f t="shared" si="10"/>
        <v>0</v>
      </c>
      <c r="H22" s="18">
        <f>IFERROR(IRR((J22,L22:CK22),0),0)</f>
        <v>0</v>
      </c>
      <c r="I22" s="52">
        <f t="shared" si="2"/>
        <v>0</v>
      </c>
      <c r="J22" s="17">
        <f t="shared" si="13"/>
        <v>0</v>
      </c>
      <c r="K22" s="28">
        <f t="shared" si="3"/>
        <v>0</v>
      </c>
      <c r="L22" s="8">
        <f t="shared" si="20"/>
        <v>0</v>
      </c>
      <c r="M22" s="8">
        <f t="shared" si="20"/>
        <v>0</v>
      </c>
      <c r="N22" s="8">
        <f t="shared" si="20"/>
        <v>0</v>
      </c>
      <c r="O22" s="8">
        <f t="shared" si="20"/>
        <v>0</v>
      </c>
      <c r="P22" s="8">
        <f t="shared" si="20"/>
        <v>0</v>
      </c>
      <c r="Q22" s="8">
        <f t="shared" si="20"/>
        <v>0</v>
      </c>
      <c r="R22" s="8">
        <f t="shared" si="20"/>
        <v>0</v>
      </c>
      <c r="S22" s="8">
        <f t="shared" si="20"/>
        <v>0</v>
      </c>
      <c r="T22" s="8">
        <f t="shared" si="20"/>
        <v>0</v>
      </c>
      <c r="U22" s="8">
        <f t="shared" si="20"/>
        <v>0</v>
      </c>
      <c r="V22" s="8">
        <f t="shared" si="20"/>
        <v>0</v>
      </c>
      <c r="W22" s="8">
        <f t="shared" si="20"/>
        <v>0</v>
      </c>
      <c r="X22" s="8">
        <f t="shared" si="20"/>
        <v>0</v>
      </c>
      <c r="Y22" s="8">
        <f t="shared" si="20"/>
        <v>0</v>
      </c>
      <c r="Z22" s="8">
        <f t="shared" si="20"/>
        <v>0</v>
      </c>
      <c r="AA22" s="8">
        <f t="shared" si="20"/>
        <v>0</v>
      </c>
      <c r="AB22" s="8">
        <f t="shared" si="17"/>
        <v>0</v>
      </c>
      <c r="AC22" s="8">
        <f t="shared" si="17"/>
        <v>0</v>
      </c>
      <c r="AD22" s="8">
        <f t="shared" si="17"/>
        <v>0</v>
      </c>
      <c r="AE22" s="8">
        <f t="shared" si="17"/>
        <v>0</v>
      </c>
      <c r="AF22" s="8">
        <f t="shared" si="17"/>
        <v>0</v>
      </c>
      <c r="AG22" s="8">
        <f t="shared" si="17"/>
        <v>0</v>
      </c>
      <c r="AH22" s="8">
        <f t="shared" si="17"/>
        <v>0</v>
      </c>
      <c r="AI22" s="8">
        <f t="shared" si="17"/>
        <v>0</v>
      </c>
      <c r="AJ22" s="8">
        <f t="shared" si="17"/>
        <v>0</v>
      </c>
      <c r="AK22" s="8">
        <f t="shared" si="17"/>
        <v>0</v>
      </c>
      <c r="AL22" s="8">
        <f t="shared" si="17"/>
        <v>0</v>
      </c>
      <c r="AM22" s="8">
        <f t="shared" si="17"/>
        <v>0</v>
      </c>
      <c r="AN22" s="8">
        <f t="shared" si="17"/>
        <v>0</v>
      </c>
      <c r="AO22" s="8">
        <f t="shared" si="17"/>
        <v>0</v>
      </c>
      <c r="AP22" s="8">
        <f t="shared" si="15"/>
        <v>0</v>
      </c>
      <c r="AQ22" s="8">
        <f t="shared" si="15"/>
        <v>0</v>
      </c>
      <c r="AR22" s="8">
        <f t="shared" si="15"/>
        <v>0</v>
      </c>
      <c r="AS22" s="8">
        <f t="shared" si="15"/>
        <v>0</v>
      </c>
      <c r="AT22" s="8">
        <f t="shared" si="15"/>
        <v>0</v>
      </c>
      <c r="AU22" s="8">
        <f t="shared" si="15"/>
        <v>0</v>
      </c>
      <c r="AV22" s="8">
        <f t="shared" si="15"/>
        <v>0</v>
      </c>
      <c r="AW22" s="8">
        <f t="shared" si="15"/>
        <v>0</v>
      </c>
      <c r="AX22" s="8">
        <f t="shared" si="15"/>
        <v>0</v>
      </c>
      <c r="AY22" s="8">
        <f t="shared" si="15"/>
        <v>0</v>
      </c>
      <c r="AZ22" s="8">
        <f t="shared" si="15"/>
        <v>0</v>
      </c>
      <c r="BA22" s="8">
        <f t="shared" si="15"/>
        <v>0</v>
      </c>
      <c r="BB22" s="8">
        <f t="shared" si="15"/>
        <v>0</v>
      </c>
      <c r="BC22" s="8">
        <f t="shared" si="15"/>
        <v>0</v>
      </c>
      <c r="BD22" s="8">
        <f t="shared" si="15"/>
        <v>0</v>
      </c>
      <c r="BE22" s="8">
        <f t="shared" si="15"/>
        <v>0</v>
      </c>
      <c r="BF22" s="8">
        <f t="shared" si="18"/>
        <v>0</v>
      </c>
      <c r="BG22" s="8">
        <f t="shared" si="18"/>
        <v>0</v>
      </c>
      <c r="BH22" s="8">
        <f t="shared" si="18"/>
        <v>0</v>
      </c>
      <c r="BI22" s="8">
        <f t="shared" si="18"/>
        <v>0</v>
      </c>
      <c r="BJ22" s="8">
        <f t="shared" si="18"/>
        <v>0</v>
      </c>
      <c r="BK22" s="8">
        <f t="shared" si="18"/>
        <v>0</v>
      </c>
      <c r="BL22" s="8">
        <f t="shared" si="18"/>
        <v>0</v>
      </c>
      <c r="BM22" s="8">
        <f t="shared" si="18"/>
        <v>0</v>
      </c>
      <c r="BN22" s="8">
        <f t="shared" si="18"/>
        <v>0</v>
      </c>
      <c r="BO22" s="8">
        <f t="shared" si="18"/>
        <v>0</v>
      </c>
      <c r="BP22" s="8">
        <f t="shared" si="18"/>
        <v>0</v>
      </c>
      <c r="BQ22" s="8">
        <f t="shared" si="18"/>
        <v>0</v>
      </c>
      <c r="BR22" s="8">
        <f t="shared" si="18"/>
        <v>0</v>
      </c>
      <c r="BS22" s="8">
        <f t="shared" si="18"/>
        <v>0</v>
      </c>
      <c r="BT22" s="8">
        <f t="shared" si="16"/>
        <v>0</v>
      </c>
      <c r="BU22" s="8">
        <f t="shared" si="16"/>
        <v>0</v>
      </c>
      <c r="BV22" s="8">
        <f t="shared" si="16"/>
        <v>0</v>
      </c>
      <c r="BW22" s="8">
        <f t="shared" si="16"/>
        <v>0</v>
      </c>
      <c r="BX22" s="8">
        <f t="shared" si="16"/>
        <v>0</v>
      </c>
      <c r="BY22" s="8">
        <f t="shared" si="16"/>
        <v>0</v>
      </c>
      <c r="BZ22" s="8">
        <f t="shared" si="16"/>
        <v>0</v>
      </c>
      <c r="CA22" s="8">
        <f t="shared" si="16"/>
        <v>0</v>
      </c>
      <c r="CB22" s="8">
        <f t="shared" si="16"/>
        <v>0</v>
      </c>
      <c r="CC22" s="8">
        <f t="shared" si="16"/>
        <v>0</v>
      </c>
      <c r="CD22" s="8">
        <f t="shared" si="19"/>
        <v>0</v>
      </c>
      <c r="CE22" s="8">
        <f t="shared" si="19"/>
        <v>0</v>
      </c>
      <c r="CF22" s="8">
        <f t="shared" si="19"/>
        <v>0</v>
      </c>
      <c r="CG22" s="8">
        <f t="shared" si="19"/>
        <v>0</v>
      </c>
      <c r="CH22" s="8">
        <f t="shared" si="19"/>
        <v>0</v>
      </c>
      <c r="CI22" s="8">
        <f t="shared" si="19"/>
        <v>0</v>
      </c>
      <c r="CJ22" s="8">
        <f t="shared" si="19"/>
        <v>0</v>
      </c>
      <c r="CK22" s="29">
        <f t="shared" si="19"/>
        <v>0</v>
      </c>
      <c r="CN22" s="8">
        <v>9.5</v>
      </c>
      <c r="CO22" s="16">
        <v>0.05</v>
      </c>
      <c r="CP22" s="16">
        <v>-1.6971506863634106E-2</v>
      </c>
      <c r="CQ22" s="16">
        <v>9.9200248228130897E-3</v>
      </c>
      <c r="CR22" s="16">
        <v>1.4559031873567897E-2</v>
      </c>
      <c r="CS22" s="16">
        <f t="shared" si="14"/>
        <v>5.7507549832746883E-2</v>
      </c>
    </row>
    <row r="23" spans="1:100" x14ac:dyDescent="0.45">
      <c r="A23" s="7"/>
      <c r="B23" s="57"/>
      <c r="C23" s="17"/>
      <c r="D23" s="17">
        <f t="shared" si="0"/>
        <v>0</v>
      </c>
      <c r="E23" s="17">
        <f t="shared" si="9"/>
        <v>0</v>
      </c>
      <c r="F23" s="17">
        <f t="shared" si="1"/>
        <v>0</v>
      </c>
      <c r="G23" s="18">
        <f t="shared" si="10"/>
        <v>0</v>
      </c>
      <c r="H23" s="18">
        <f>IFERROR(IRR((J23,L23:CK23),0),0)</f>
        <v>0</v>
      </c>
      <c r="I23" s="52">
        <f t="shared" si="2"/>
        <v>0</v>
      </c>
      <c r="J23" s="17">
        <f t="shared" si="13"/>
        <v>0</v>
      </c>
      <c r="K23" s="28">
        <f t="shared" si="3"/>
        <v>0</v>
      </c>
      <c r="L23" s="8">
        <f t="shared" si="20"/>
        <v>0</v>
      </c>
      <c r="M23" s="8">
        <f t="shared" si="20"/>
        <v>0</v>
      </c>
      <c r="N23" s="8">
        <f t="shared" si="20"/>
        <v>0</v>
      </c>
      <c r="O23" s="8">
        <f t="shared" si="20"/>
        <v>0</v>
      </c>
      <c r="P23" s="8">
        <f t="shared" si="20"/>
        <v>0</v>
      </c>
      <c r="Q23" s="8">
        <f t="shared" si="20"/>
        <v>0</v>
      </c>
      <c r="R23" s="8">
        <f t="shared" si="20"/>
        <v>0</v>
      </c>
      <c r="S23" s="8">
        <f t="shared" si="20"/>
        <v>0</v>
      </c>
      <c r="T23" s="8">
        <f t="shared" si="20"/>
        <v>0</v>
      </c>
      <c r="U23" s="8">
        <f t="shared" si="20"/>
        <v>0</v>
      </c>
      <c r="V23" s="8">
        <f t="shared" si="20"/>
        <v>0</v>
      </c>
      <c r="W23" s="8">
        <f t="shared" si="20"/>
        <v>0</v>
      </c>
      <c r="X23" s="8">
        <f t="shared" si="20"/>
        <v>0</v>
      </c>
      <c r="Y23" s="8">
        <f t="shared" si="20"/>
        <v>0</v>
      </c>
      <c r="Z23" s="8">
        <f t="shared" si="20"/>
        <v>0</v>
      </c>
      <c r="AA23" s="8">
        <f t="shared" si="20"/>
        <v>0</v>
      </c>
      <c r="AB23" s="8">
        <f t="shared" si="17"/>
        <v>0</v>
      </c>
      <c r="AC23" s="8">
        <f t="shared" si="17"/>
        <v>0</v>
      </c>
      <c r="AD23" s="8">
        <f t="shared" si="17"/>
        <v>0</v>
      </c>
      <c r="AE23" s="8">
        <f t="shared" si="17"/>
        <v>0</v>
      </c>
      <c r="AF23" s="8">
        <f t="shared" si="17"/>
        <v>0</v>
      </c>
      <c r="AG23" s="8">
        <f t="shared" si="17"/>
        <v>0</v>
      </c>
      <c r="AH23" s="8">
        <f t="shared" si="17"/>
        <v>0</v>
      </c>
      <c r="AI23" s="8">
        <f t="shared" si="17"/>
        <v>0</v>
      </c>
      <c r="AJ23" s="8">
        <f t="shared" si="17"/>
        <v>0</v>
      </c>
      <c r="AK23" s="8">
        <f t="shared" si="17"/>
        <v>0</v>
      </c>
      <c r="AL23" s="8">
        <f t="shared" si="17"/>
        <v>0</v>
      </c>
      <c r="AM23" s="8">
        <f t="shared" si="17"/>
        <v>0</v>
      </c>
      <c r="AN23" s="8">
        <f t="shared" si="17"/>
        <v>0</v>
      </c>
      <c r="AO23" s="8">
        <f t="shared" si="17"/>
        <v>0</v>
      </c>
      <c r="AP23" s="8">
        <f t="shared" si="15"/>
        <v>0</v>
      </c>
      <c r="AQ23" s="8">
        <f t="shared" si="15"/>
        <v>0</v>
      </c>
      <c r="AR23" s="8">
        <f t="shared" si="15"/>
        <v>0</v>
      </c>
      <c r="AS23" s="8">
        <f t="shared" si="15"/>
        <v>0</v>
      </c>
      <c r="AT23" s="8">
        <f t="shared" si="15"/>
        <v>0</v>
      </c>
      <c r="AU23" s="8">
        <f t="shared" si="15"/>
        <v>0</v>
      </c>
      <c r="AV23" s="8">
        <f t="shared" si="15"/>
        <v>0</v>
      </c>
      <c r="AW23" s="8">
        <f t="shared" si="15"/>
        <v>0</v>
      </c>
      <c r="AX23" s="8">
        <f t="shared" si="15"/>
        <v>0</v>
      </c>
      <c r="AY23" s="8">
        <f t="shared" si="15"/>
        <v>0</v>
      </c>
      <c r="AZ23" s="8">
        <f t="shared" si="15"/>
        <v>0</v>
      </c>
      <c r="BA23" s="8">
        <f t="shared" si="15"/>
        <v>0</v>
      </c>
      <c r="BB23" s="8">
        <f t="shared" si="15"/>
        <v>0</v>
      </c>
      <c r="BC23" s="8">
        <f t="shared" si="15"/>
        <v>0</v>
      </c>
      <c r="BD23" s="8">
        <f t="shared" si="15"/>
        <v>0</v>
      </c>
      <c r="BE23" s="8">
        <f t="shared" si="15"/>
        <v>0</v>
      </c>
      <c r="BF23" s="8">
        <f t="shared" si="18"/>
        <v>0</v>
      </c>
      <c r="BG23" s="8">
        <f t="shared" si="18"/>
        <v>0</v>
      </c>
      <c r="BH23" s="8">
        <f t="shared" si="18"/>
        <v>0</v>
      </c>
      <c r="BI23" s="8">
        <f t="shared" si="18"/>
        <v>0</v>
      </c>
      <c r="BJ23" s="8">
        <f t="shared" si="18"/>
        <v>0</v>
      </c>
      <c r="BK23" s="8">
        <f t="shared" si="18"/>
        <v>0</v>
      </c>
      <c r="BL23" s="8">
        <f t="shared" si="18"/>
        <v>0</v>
      </c>
      <c r="BM23" s="8">
        <f t="shared" si="18"/>
        <v>0</v>
      </c>
      <c r="BN23" s="8">
        <f t="shared" si="18"/>
        <v>0</v>
      </c>
      <c r="BO23" s="8">
        <f t="shared" si="18"/>
        <v>0</v>
      </c>
      <c r="BP23" s="8">
        <f t="shared" si="18"/>
        <v>0</v>
      </c>
      <c r="BQ23" s="8">
        <f t="shared" si="18"/>
        <v>0</v>
      </c>
      <c r="BR23" s="8">
        <f t="shared" si="18"/>
        <v>0</v>
      </c>
      <c r="BS23" s="8">
        <f t="shared" si="18"/>
        <v>0</v>
      </c>
      <c r="BT23" s="8">
        <f t="shared" si="16"/>
        <v>0</v>
      </c>
      <c r="BU23" s="8">
        <f t="shared" si="16"/>
        <v>0</v>
      </c>
      <c r="BV23" s="8">
        <f t="shared" si="16"/>
        <v>0</v>
      </c>
      <c r="BW23" s="8">
        <f t="shared" si="16"/>
        <v>0</v>
      </c>
      <c r="BX23" s="8">
        <f t="shared" si="16"/>
        <v>0</v>
      </c>
      <c r="BY23" s="8">
        <f t="shared" si="16"/>
        <v>0</v>
      </c>
      <c r="BZ23" s="8">
        <f t="shared" si="16"/>
        <v>0</v>
      </c>
      <c r="CA23" s="8">
        <f t="shared" si="16"/>
        <v>0</v>
      </c>
      <c r="CB23" s="8">
        <f t="shared" si="16"/>
        <v>0</v>
      </c>
      <c r="CC23" s="8">
        <f t="shared" si="16"/>
        <v>0</v>
      </c>
      <c r="CD23" s="8">
        <f t="shared" si="19"/>
        <v>0</v>
      </c>
      <c r="CE23" s="8">
        <f t="shared" si="19"/>
        <v>0</v>
      </c>
      <c r="CF23" s="8">
        <f t="shared" si="19"/>
        <v>0</v>
      </c>
      <c r="CG23" s="8">
        <f t="shared" si="19"/>
        <v>0</v>
      </c>
      <c r="CH23" s="8">
        <f t="shared" si="19"/>
        <v>0</v>
      </c>
      <c r="CI23" s="8">
        <f t="shared" si="19"/>
        <v>0</v>
      </c>
      <c r="CJ23" s="8">
        <f t="shared" si="19"/>
        <v>0</v>
      </c>
      <c r="CK23" s="29">
        <f t="shared" si="19"/>
        <v>0</v>
      </c>
      <c r="CN23" s="8">
        <v>10</v>
      </c>
      <c r="CO23" s="16">
        <v>0.05</v>
      </c>
      <c r="CP23" s="16">
        <v>-1.6755788289860112E-2</v>
      </c>
      <c r="CQ23" s="16">
        <v>1.0257126293292944E-2</v>
      </c>
      <c r="CR23" s="16">
        <v>1.5201767695712128E-2</v>
      </c>
      <c r="CS23" s="16">
        <f t="shared" si="14"/>
        <v>5.8703105699144956E-2</v>
      </c>
    </row>
    <row r="24" spans="1:100" x14ac:dyDescent="0.45">
      <c r="A24" s="7"/>
      <c r="B24" s="57"/>
      <c r="C24" s="17"/>
      <c r="D24" s="17">
        <f t="shared" si="0"/>
        <v>0</v>
      </c>
      <c r="E24" s="17">
        <f t="shared" si="9"/>
        <v>0</v>
      </c>
      <c r="F24" s="17">
        <f t="shared" si="1"/>
        <v>0</v>
      </c>
      <c r="G24" s="18">
        <f t="shared" si="10"/>
        <v>0</v>
      </c>
      <c r="H24" s="18">
        <f>IFERROR(IRR((J24,L24:CK24),0),0)</f>
        <v>0</v>
      </c>
      <c r="I24" s="52">
        <f t="shared" si="2"/>
        <v>0</v>
      </c>
      <c r="J24" s="17">
        <f t="shared" si="13"/>
        <v>0</v>
      </c>
      <c r="K24" s="28">
        <f t="shared" si="3"/>
        <v>0</v>
      </c>
      <c r="L24" s="8">
        <f t="shared" si="20"/>
        <v>0</v>
      </c>
      <c r="M24" s="8">
        <f t="shared" si="20"/>
        <v>0</v>
      </c>
      <c r="N24" s="8">
        <f t="shared" si="20"/>
        <v>0</v>
      </c>
      <c r="O24" s="8">
        <f t="shared" si="20"/>
        <v>0</v>
      </c>
      <c r="P24" s="8">
        <f t="shared" si="20"/>
        <v>0</v>
      </c>
      <c r="Q24" s="8">
        <f t="shared" si="20"/>
        <v>0</v>
      </c>
      <c r="R24" s="8">
        <f t="shared" si="20"/>
        <v>0</v>
      </c>
      <c r="S24" s="8">
        <f t="shared" si="20"/>
        <v>0</v>
      </c>
      <c r="T24" s="8">
        <f t="shared" si="20"/>
        <v>0</v>
      </c>
      <c r="U24" s="8">
        <f t="shared" si="20"/>
        <v>0</v>
      </c>
      <c r="V24" s="8">
        <f t="shared" si="20"/>
        <v>0</v>
      </c>
      <c r="W24" s="8">
        <f t="shared" si="20"/>
        <v>0</v>
      </c>
      <c r="X24" s="8">
        <f t="shared" si="20"/>
        <v>0</v>
      </c>
      <c r="Y24" s="8">
        <f t="shared" si="20"/>
        <v>0</v>
      </c>
      <c r="Z24" s="8">
        <f t="shared" si="20"/>
        <v>0</v>
      </c>
      <c r="AA24" s="8">
        <f t="shared" si="20"/>
        <v>0</v>
      </c>
      <c r="AB24" s="8">
        <f t="shared" si="17"/>
        <v>0</v>
      </c>
      <c r="AC24" s="8">
        <f t="shared" si="17"/>
        <v>0</v>
      </c>
      <c r="AD24" s="8">
        <f t="shared" si="17"/>
        <v>0</v>
      </c>
      <c r="AE24" s="8">
        <f t="shared" si="17"/>
        <v>0</v>
      </c>
      <c r="AF24" s="8">
        <f t="shared" si="17"/>
        <v>0</v>
      </c>
      <c r="AG24" s="8">
        <f t="shared" si="17"/>
        <v>0</v>
      </c>
      <c r="AH24" s="8">
        <f t="shared" si="17"/>
        <v>0</v>
      </c>
      <c r="AI24" s="8">
        <f t="shared" si="17"/>
        <v>0</v>
      </c>
      <c r="AJ24" s="8">
        <f t="shared" si="17"/>
        <v>0</v>
      </c>
      <c r="AK24" s="8">
        <f t="shared" si="17"/>
        <v>0</v>
      </c>
      <c r="AL24" s="8">
        <f t="shared" si="17"/>
        <v>0</v>
      </c>
      <c r="AM24" s="8">
        <f t="shared" si="17"/>
        <v>0</v>
      </c>
      <c r="AN24" s="8">
        <f t="shared" si="17"/>
        <v>0</v>
      </c>
      <c r="AO24" s="8">
        <f t="shared" si="17"/>
        <v>0</v>
      </c>
      <c r="AP24" s="8">
        <f t="shared" si="15"/>
        <v>0</v>
      </c>
      <c r="AQ24" s="8">
        <f t="shared" si="15"/>
        <v>0</v>
      </c>
      <c r="AR24" s="8">
        <f t="shared" si="15"/>
        <v>0</v>
      </c>
      <c r="AS24" s="8">
        <f t="shared" si="15"/>
        <v>0</v>
      </c>
      <c r="AT24" s="8">
        <f t="shared" si="15"/>
        <v>0</v>
      </c>
      <c r="AU24" s="8">
        <f t="shared" si="15"/>
        <v>0</v>
      </c>
      <c r="AV24" s="8">
        <f t="shared" si="15"/>
        <v>0</v>
      </c>
      <c r="AW24" s="8">
        <f t="shared" si="15"/>
        <v>0</v>
      </c>
      <c r="AX24" s="8">
        <f t="shared" si="15"/>
        <v>0</v>
      </c>
      <c r="AY24" s="8">
        <f t="shared" si="15"/>
        <v>0</v>
      </c>
      <c r="AZ24" s="8">
        <f t="shared" si="15"/>
        <v>0</v>
      </c>
      <c r="BA24" s="8">
        <f t="shared" si="15"/>
        <v>0</v>
      </c>
      <c r="BB24" s="8">
        <f t="shared" si="15"/>
        <v>0</v>
      </c>
      <c r="BC24" s="8">
        <f t="shared" si="15"/>
        <v>0</v>
      </c>
      <c r="BD24" s="8">
        <f t="shared" si="15"/>
        <v>0</v>
      </c>
      <c r="BE24" s="8">
        <f t="shared" si="15"/>
        <v>0</v>
      </c>
      <c r="BF24" s="8">
        <f t="shared" si="18"/>
        <v>0</v>
      </c>
      <c r="BG24" s="8">
        <f t="shared" si="18"/>
        <v>0</v>
      </c>
      <c r="BH24" s="8">
        <f t="shared" si="18"/>
        <v>0</v>
      </c>
      <c r="BI24" s="8">
        <f t="shared" si="18"/>
        <v>0</v>
      </c>
      <c r="BJ24" s="8">
        <f t="shared" si="18"/>
        <v>0</v>
      </c>
      <c r="BK24" s="8">
        <f t="shared" si="18"/>
        <v>0</v>
      </c>
      <c r="BL24" s="8">
        <f t="shared" si="18"/>
        <v>0</v>
      </c>
      <c r="BM24" s="8">
        <f t="shared" si="18"/>
        <v>0</v>
      </c>
      <c r="BN24" s="8">
        <f t="shared" si="18"/>
        <v>0</v>
      </c>
      <c r="BO24" s="8">
        <f t="shared" si="18"/>
        <v>0</v>
      </c>
      <c r="BP24" s="8">
        <f t="shared" si="18"/>
        <v>0</v>
      </c>
      <c r="BQ24" s="8">
        <f t="shared" si="18"/>
        <v>0</v>
      </c>
      <c r="BR24" s="8">
        <f t="shared" si="18"/>
        <v>0</v>
      </c>
      <c r="BS24" s="8">
        <f t="shared" si="18"/>
        <v>0</v>
      </c>
      <c r="BT24" s="8">
        <f t="shared" si="16"/>
        <v>0</v>
      </c>
      <c r="BU24" s="8">
        <f t="shared" si="16"/>
        <v>0</v>
      </c>
      <c r="BV24" s="8">
        <f t="shared" si="16"/>
        <v>0</v>
      </c>
      <c r="BW24" s="8">
        <f t="shared" si="16"/>
        <v>0</v>
      </c>
      <c r="BX24" s="8">
        <f t="shared" si="16"/>
        <v>0</v>
      </c>
      <c r="BY24" s="8">
        <f t="shared" si="16"/>
        <v>0</v>
      </c>
      <c r="BZ24" s="8">
        <f t="shared" si="16"/>
        <v>0</v>
      </c>
      <c r="CA24" s="8">
        <f t="shared" si="16"/>
        <v>0</v>
      </c>
      <c r="CB24" s="8">
        <f t="shared" si="16"/>
        <v>0</v>
      </c>
      <c r="CC24" s="8">
        <f t="shared" si="16"/>
        <v>0</v>
      </c>
      <c r="CD24" s="8">
        <f t="shared" si="19"/>
        <v>0</v>
      </c>
      <c r="CE24" s="8">
        <f t="shared" si="19"/>
        <v>0</v>
      </c>
      <c r="CF24" s="8">
        <f t="shared" si="19"/>
        <v>0</v>
      </c>
      <c r="CG24" s="8">
        <f t="shared" si="19"/>
        <v>0</v>
      </c>
      <c r="CH24" s="8">
        <f t="shared" si="19"/>
        <v>0</v>
      </c>
      <c r="CI24" s="8">
        <f t="shared" si="19"/>
        <v>0</v>
      </c>
      <c r="CJ24" s="8">
        <f t="shared" si="19"/>
        <v>0</v>
      </c>
      <c r="CK24" s="29">
        <f t="shared" si="19"/>
        <v>0</v>
      </c>
      <c r="CN24" s="8">
        <v>10.5</v>
      </c>
      <c r="CO24" s="16">
        <v>0.05</v>
      </c>
      <c r="CP24" s="16">
        <v>-1.6543886673755129E-2</v>
      </c>
      <c r="CQ24" s="16">
        <v>1.0579666569225004E-2</v>
      </c>
      <c r="CR24" s="16">
        <v>1.5833335521736592E-2</v>
      </c>
      <c r="CS24" s="16">
        <f t="shared" si="14"/>
        <v>5.9869115417206464E-2</v>
      </c>
    </row>
    <row r="25" spans="1:100" x14ac:dyDescent="0.45">
      <c r="A25" s="7"/>
      <c r="B25" s="57"/>
      <c r="C25" s="17"/>
      <c r="D25" s="17">
        <f t="shared" si="0"/>
        <v>0</v>
      </c>
      <c r="E25" s="17">
        <f t="shared" si="9"/>
        <v>0</v>
      </c>
      <c r="F25" s="17">
        <f t="shared" si="1"/>
        <v>0</v>
      </c>
      <c r="G25" s="18">
        <f t="shared" si="10"/>
        <v>0</v>
      </c>
      <c r="H25" s="18">
        <f>IFERROR(IRR((J25,L25:CK25),0),0)</f>
        <v>0</v>
      </c>
      <c r="I25" s="52">
        <f t="shared" si="2"/>
        <v>0</v>
      </c>
      <c r="J25" s="17">
        <f t="shared" si="13"/>
        <v>0</v>
      </c>
      <c r="K25" s="28">
        <f t="shared" si="3"/>
        <v>0</v>
      </c>
      <c r="L25" s="8">
        <f t="shared" si="20"/>
        <v>0</v>
      </c>
      <c r="M25" s="8">
        <f t="shared" si="20"/>
        <v>0</v>
      </c>
      <c r="N25" s="8">
        <f t="shared" si="20"/>
        <v>0</v>
      </c>
      <c r="O25" s="8">
        <f t="shared" si="20"/>
        <v>0</v>
      </c>
      <c r="P25" s="8">
        <f t="shared" si="20"/>
        <v>0</v>
      </c>
      <c r="Q25" s="8">
        <f t="shared" si="20"/>
        <v>0</v>
      </c>
      <c r="R25" s="8">
        <f t="shared" si="20"/>
        <v>0</v>
      </c>
      <c r="S25" s="8">
        <f t="shared" si="20"/>
        <v>0</v>
      </c>
      <c r="T25" s="8">
        <f t="shared" si="20"/>
        <v>0</v>
      </c>
      <c r="U25" s="8">
        <f t="shared" si="20"/>
        <v>0</v>
      </c>
      <c r="V25" s="8">
        <f t="shared" si="20"/>
        <v>0</v>
      </c>
      <c r="W25" s="8">
        <f t="shared" si="20"/>
        <v>0</v>
      </c>
      <c r="X25" s="8">
        <f t="shared" si="20"/>
        <v>0</v>
      </c>
      <c r="Y25" s="8">
        <f t="shared" si="20"/>
        <v>0</v>
      </c>
      <c r="Z25" s="8">
        <f t="shared" si="20"/>
        <v>0</v>
      </c>
      <c r="AA25" s="8">
        <f t="shared" si="20"/>
        <v>0</v>
      </c>
      <c r="AB25" s="8">
        <f t="shared" si="17"/>
        <v>0</v>
      </c>
      <c r="AC25" s="8">
        <f t="shared" si="17"/>
        <v>0</v>
      </c>
      <c r="AD25" s="8">
        <f t="shared" si="17"/>
        <v>0</v>
      </c>
      <c r="AE25" s="8">
        <f t="shared" si="17"/>
        <v>0</v>
      </c>
      <c r="AF25" s="8">
        <f t="shared" si="17"/>
        <v>0</v>
      </c>
      <c r="AG25" s="8">
        <f t="shared" si="17"/>
        <v>0</v>
      </c>
      <c r="AH25" s="8">
        <f t="shared" si="17"/>
        <v>0</v>
      </c>
      <c r="AI25" s="8">
        <f t="shared" si="17"/>
        <v>0</v>
      </c>
      <c r="AJ25" s="8">
        <f t="shared" si="17"/>
        <v>0</v>
      </c>
      <c r="AK25" s="8">
        <f t="shared" si="17"/>
        <v>0</v>
      </c>
      <c r="AL25" s="8">
        <f t="shared" si="17"/>
        <v>0</v>
      </c>
      <c r="AM25" s="8">
        <f t="shared" si="17"/>
        <v>0</v>
      </c>
      <c r="AN25" s="8">
        <f t="shared" si="17"/>
        <v>0</v>
      </c>
      <c r="AO25" s="8">
        <f t="shared" si="17"/>
        <v>0</v>
      </c>
      <c r="AP25" s="8">
        <f t="shared" si="15"/>
        <v>0</v>
      </c>
      <c r="AQ25" s="8">
        <f t="shared" si="15"/>
        <v>0</v>
      </c>
      <c r="AR25" s="8">
        <f t="shared" si="15"/>
        <v>0</v>
      </c>
      <c r="AS25" s="8">
        <f t="shared" si="15"/>
        <v>0</v>
      </c>
      <c r="AT25" s="8">
        <f t="shared" si="15"/>
        <v>0</v>
      </c>
      <c r="AU25" s="8">
        <f t="shared" si="15"/>
        <v>0</v>
      </c>
      <c r="AV25" s="8">
        <f t="shared" si="15"/>
        <v>0</v>
      </c>
      <c r="AW25" s="8">
        <f t="shared" si="15"/>
        <v>0</v>
      </c>
      <c r="AX25" s="8">
        <f t="shared" si="15"/>
        <v>0</v>
      </c>
      <c r="AY25" s="8">
        <f t="shared" si="15"/>
        <v>0</v>
      </c>
      <c r="AZ25" s="8">
        <f t="shared" si="15"/>
        <v>0</v>
      </c>
      <c r="BA25" s="8">
        <f t="shared" si="15"/>
        <v>0</v>
      </c>
      <c r="BB25" s="8">
        <f t="shared" si="15"/>
        <v>0</v>
      </c>
      <c r="BC25" s="8">
        <f t="shared" si="15"/>
        <v>0</v>
      </c>
      <c r="BD25" s="8">
        <f t="shared" si="15"/>
        <v>0</v>
      </c>
      <c r="BE25" s="8">
        <f t="shared" si="15"/>
        <v>0</v>
      </c>
      <c r="BF25" s="8">
        <f t="shared" si="18"/>
        <v>0</v>
      </c>
      <c r="BG25" s="8">
        <f t="shared" si="18"/>
        <v>0</v>
      </c>
      <c r="BH25" s="8">
        <f t="shared" si="18"/>
        <v>0</v>
      </c>
      <c r="BI25" s="8">
        <f t="shared" si="18"/>
        <v>0</v>
      </c>
      <c r="BJ25" s="8">
        <f t="shared" si="18"/>
        <v>0</v>
      </c>
      <c r="BK25" s="8">
        <f t="shared" si="18"/>
        <v>0</v>
      </c>
      <c r="BL25" s="8">
        <f t="shared" si="18"/>
        <v>0</v>
      </c>
      <c r="BM25" s="8">
        <f t="shared" si="18"/>
        <v>0</v>
      </c>
      <c r="BN25" s="8">
        <f t="shared" si="18"/>
        <v>0</v>
      </c>
      <c r="BO25" s="8">
        <f t="shared" si="18"/>
        <v>0</v>
      </c>
      <c r="BP25" s="8">
        <f t="shared" si="18"/>
        <v>0</v>
      </c>
      <c r="BQ25" s="8">
        <f t="shared" si="18"/>
        <v>0</v>
      </c>
      <c r="BR25" s="8">
        <f t="shared" si="18"/>
        <v>0</v>
      </c>
      <c r="BS25" s="8">
        <f t="shared" si="18"/>
        <v>0</v>
      </c>
      <c r="BT25" s="8">
        <f t="shared" si="16"/>
        <v>0</v>
      </c>
      <c r="BU25" s="8">
        <f t="shared" si="16"/>
        <v>0</v>
      </c>
      <c r="BV25" s="8">
        <f t="shared" si="16"/>
        <v>0</v>
      </c>
      <c r="BW25" s="8">
        <f t="shared" si="16"/>
        <v>0</v>
      </c>
      <c r="BX25" s="8">
        <f t="shared" si="16"/>
        <v>0</v>
      </c>
      <c r="BY25" s="8">
        <f t="shared" si="16"/>
        <v>0</v>
      </c>
      <c r="BZ25" s="8">
        <f t="shared" si="16"/>
        <v>0</v>
      </c>
      <c r="CA25" s="8">
        <f t="shared" si="16"/>
        <v>0</v>
      </c>
      <c r="CB25" s="8">
        <f t="shared" si="16"/>
        <v>0</v>
      </c>
      <c r="CC25" s="8">
        <f t="shared" si="16"/>
        <v>0</v>
      </c>
      <c r="CD25" s="8">
        <f t="shared" si="19"/>
        <v>0</v>
      </c>
      <c r="CE25" s="8">
        <f t="shared" si="19"/>
        <v>0</v>
      </c>
      <c r="CF25" s="8">
        <f t="shared" si="19"/>
        <v>0</v>
      </c>
      <c r="CG25" s="8">
        <f t="shared" si="19"/>
        <v>0</v>
      </c>
      <c r="CH25" s="8">
        <f t="shared" si="19"/>
        <v>0</v>
      </c>
      <c r="CI25" s="8">
        <f t="shared" si="19"/>
        <v>0</v>
      </c>
      <c r="CJ25" s="8">
        <f t="shared" si="19"/>
        <v>0</v>
      </c>
      <c r="CK25" s="29">
        <f t="shared" si="19"/>
        <v>0</v>
      </c>
      <c r="CN25" s="8">
        <v>11</v>
      </c>
      <c r="CO25" s="16">
        <v>0.05</v>
      </c>
      <c r="CP25" s="16">
        <v>-1.6335724671653822E-2</v>
      </c>
      <c r="CQ25" s="16">
        <v>1.0888118359353766E-2</v>
      </c>
      <c r="CR25" s="16">
        <v>1.6453892482841358E-2</v>
      </c>
      <c r="CS25" s="16">
        <f t="shared" si="14"/>
        <v>6.1006286170541296E-2</v>
      </c>
    </row>
    <row r="26" spans="1:100" x14ac:dyDescent="0.45">
      <c r="A26" s="7"/>
      <c r="B26" s="57"/>
      <c r="C26" s="17"/>
      <c r="D26" s="17">
        <f t="shared" si="0"/>
        <v>0</v>
      </c>
      <c r="E26" s="17">
        <f t="shared" si="9"/>
        <v>0</v>
      </c>
      <c r="F26" s="17">
        <f t="shared" si="1"/>
        <v>0</v>
      </c>
      <c r="G26" s="18">
        <f t="shared" si="10"/>
        <v>0</v>
      </c>
      <c r="H26" s="18">
        <f>IFERROR(IRR((J26,L26:CK26),0),0)</f>
        <v>0</v>
      </c>
      <c r="I26" s="52">
        <f t="shared" si="2"/>
        <v>0</v>
      </c>
      <c r="J26" s="17">
        <f t="shared" si="13"/>
        <v>0</v>
      </c>
      <c r="K26" s="28">
        <f t="shared" si="3"/>
        <v>0</v>
      </c>
      <c r="L26" s="8">
        <f t="shared" si="20"/>
        <v>0</v>
      </c>
      <c r="M26" s="8">
        <f t="shared" si="20"/>
        <v>0</v>
      </c>
      <c r="N26" s="8">
        <f t="shared" si="20"/>
        <v>0</v>
      </c>
      <c r="O26" s="8">
        <f t="shared" si="20"/>
        <v>0</v>
      </c>
      <c r="P26" s="8">
        <f t="shared" si="20"/>
        <v>0</v>
      </c>
      <c r="Q26" s="8">
        <f t="shared" si="20"/>
        <v>0</v>
      </c>
      <c r="R26" s="8">
        <f t="shared" si="20"/>
        <v>0</v>
      </c>
      <c r="S26" s="8">
        <f t="shared" si="20"/>
        <v>0</v>
      </c>
      <c r="T26" s="8">
        <f t="shared" si="20"/>
        <v>0</v>
      </c>
      <c r="U26" s="8">
        <f t="shared" si="20"/>
        <v>0</v>
      </c>
      <c r="V26" s="8">
        <f t="shared" si="20"/>
        <v>0</v>
      </c>
      <c r="W26" s="8">
        <f t="shared" si="20"/>
        <v>0</v>
      </c>
      <c r="X26" s="8">
        <f t="shared" si="20"/>
        <v>0</v>
      </c>
      <c r="Y26" s="8">
        <f t="shared" si="20"/>
        <v>0</v>
      </c>
      <c r="Z26" s="8">
        <f t="shared" si="20"/>
        <v>0</v>
      </c>
      <c r="AA26" s="8">
        <f t="shared" si="20"/>
        <v>0</v>
      </c>
      <c r="AB26" s="8">
        <f t="shared" si="17"/>
        <v>0</v>
      </c>
      <c r="AC26" s="8">
        <f t="shared" si="17"/>
        <v>0</v>
      </c>
      <c r="AD26" s="8">
        <f t="shared" si="17"/>
        <v>0</v>
      </c>
      <c r="AE26" s="8">
        <f t="shared" si="17"/>
        <v>0</v>
      </c>
      <c r="AF26" s="8">
        <f t="shared" si="17"/>
        <v>0</v>
      </c>
      <c r="AG26" s="8">
        <f t="shared" si="17"/>
        <v>0</v>
      </c>
      <c r="AH26" s="8">
        <f t="shared" si="17"/>
        <v>0</v>
      </c>
      <c r="AI26" s="8">
        <f t="shared" si="17"/>
        <v>0</v>
      </c>
      <c r="AJ26" s="8">
        <f t="shared" si="17"/>
        <v>0</v>
      </c>
      <c r="AK26" s="8">
        <f t="shared" si="17"/>
        <v>0</v>
      </c>
      <c r="AL26" s="8">
        <f t="shared" si="17"/>
        <v>0</v>
      </c>
      <c r="AM26" s="8">
        <f t="shared" si="17"/>
        <v>0</v>
      </c>
      <c r="AN26" s="8">
        <f t="shared" si="17"/>
        <v>0</v>
      </c>
      <c r="AO26" s="8">
        <f t="shared" si="17"/>
        <v>0</v>
      </c>
      <c r="AP26" s="8">
        <f t="shared" si="15"/>
        <v>0</v>
      </c>
      <c r="AQ26" s="8">
        <f t="shared" si="15"/>
        <v>0</v>
      </c>
      <c r="AR26" s="8">
        <f t="shared" si="15"/>
        <v>0</v>
      </c>
      <c r="AS26" s="8">
        <f t="shared" si="15"/>
        <v>0</v>
      </c>
      <c r="AT26" s="8">
        <f t="shared" si="15"/>
        <v>0</v>
      </c>
      <c r="AU26" s="8">
        <f t="shared" si="15"/>
        <v>0</v>
      </c>
      <c r="AV26" s="8">
        <f t="shared" si="15"/>
        <v>0</v>
      </c>
      <c r="AW26" s="8">
        <f t="shared" si="15"/>
        <v>0</v>
      </c>
      <c r="AX26" s="8">
        <f t="shared" si="15"/>
        <v>0</v>
      </c>
      <c r="AY26" s="8">
        <f t="shared" si="15"/>
        <v>0</v>
      </c>
      <c r="AZ26" s="8">
        <f t="shared" si="15"/>
        <v>0</v>
      </c>
      <c r="BA26" s="8">
        <f t="shared" si="15"/>
        <v>0</v>
      </c>
      <c r="BB26" s="8">
        <f t="shared" si="15"/>
        <v>0</v>
      </c>
      <c r="BC26" s="8">
        <f t="shared" si="15"/>
        <v>0</v>
      </c>
      <c r="BD26" s="8">
        <f t="shared" si="15"/>
        <v>0</v>
      </c>
      <c r="BE26" s="8">
        <f t="shared" si="15"/>
        <v>0</v>
      </c>
      <c r="BF26" s="8">
        <f t="shared" si="18"/>
        <v>0</v>
      </c>
      <c r="BG26" s="8">
        <f t="shared" si="18"/>
        <v>0</v>
      </c>
      <c r="BH26" s="8">
        <f t="shared" si="18"/>
        <v>0</v>
      </c>
      <c r="BI26" s="8">
        <f t="shared" si="18"/>
        <v>0</v>
      </c>
      <c r="BJ26" s="8">
        <f t="shared" si="18"/>
        <v>0</v>
      </c>
      <c r="BK26" s="8">
        <f t="shared" si="18"/>
        <v>0</v>
      </c>
      <c r="BL26" s="8">
        <f t="shared" si="18"/>
        <v>0</v>
      </c>
      <c r="BM26" s="8">
        <f t="shared" si="18"/>
        <v>0</v>
      </c>
      <c r="BN26" s="8">
        <f t="shared" si="18"/>
        <v>0</v>
      </c>
      <c r="BO26" s="8">
        <f t="shared" si="18"/>
        <v>0</v>
      </c>
      <c r="BP26" s="8">
        <f t="shared" si="18"/>
        <v>0</v>
      </c>
      <c r="BQ26" s="8">
        <f t="shared" si="18"/>
        <v>0</v>
      </c>
      <c r="BR26" s="8">
        <f t="shared" si="18"/>
        <v>0</v>
      </c>
      <c r="BS26" s="8">
        <f t="shared" si="18"/>
        <v>0</v>
      </c>
      <c r="BT26" s="8">
        <f t="shared" si="16"/>
        <v>0</v>
      </c>
      <c r="BU26" s="8">
        <f t="shared" si="16"/>
        <v>0</v>
      </c>
      <c r="BV26" s="8">
        <f t="shared" si="16"/>
        <v>0</v>
      </c>
      <c r="BW26" s="8">
        <f t="shared" si="16"/>
        <v>0</v>
      </c>
      <c r="BX26" s="8">
        <f t="shared" si="16"/>
        <v>0</v>
      </c>
      <c r="BY26" s="8">
        <f t="shared" si="16"/>
        <v>0</v>
      </c>
      <c r="BZ26" s="8">
        <f t="shared" si="16"/>
        <v>0</v>
      </c>
      <c r="CA26" s="8">
        <f t="shared" si="16"/>
        <v>0</v>
      </c>
      <c r="CB26" s="8">
        <f t="shared" si="16"/>
        <v>0</v>
      </c>
      <c r="CC26" s="8">
        <f t="shared" si="16"/>
        <v>0</v>
      </c>
      <c r="CD26" s="8">
        <f t="shared" si="19"/>
        <v>0</v>
      </c>
      <c r="CE26" s="8">
        <f t="shared" si="19"/>
        <v>0</v>
      </c>
      <c r="CF26" s="8">
        <f t="shared" si="19"/>
        <v>0</v>
      </c>
      <c r="CG26" s="8">
        <f t="shared" si="19"/>
        <v>0</v>
      </c>
      <c r="CH26" s="8">
        <f t="shared" si="19"/>
        <v>0</v>
      </c>
      <c r="CI26" s="8">
        <f t="shared" si="19"/>
        <v>0</v>
      </c>
      <c r="CJ26" s="8">
        <f t="shared" si="19"/>
        <v>0</v>
      </c>
      <c r="CK26" s="29">
        <f t="shared" si="19"/>
        <v>0</v>
      </c>
      <c r="CN26" s="8">
        <v>11.5</v>
      </c>
      <c r="CO26" s="16">
        <v>0.05</v>
      </c>
      <c r="CP26" s="16">
        <v>-1.6131226626681004E-2</v>
      </c>
      <c r="CQ26" s="16">
        <v>1.1182940150148131E-2</v>
      </c>
      <c r="CR26" s="16">
        <v>1.7063593632368101E-2</v>
      </c>
      <c r="CS26" s="16">
        <f t="shared" si="14"/>
        <v>6.2115307155835228E-2</v>
      </c>
    </row>
    <row r="27" spans="1:100" x14ac:dyDescent="0.45">
      <c r="A27" s="7"/>
      <c r="B27" s="57"/>
      <c r="C27" s="17"/>
      <c r="D27" s="17">
        <f t="shared" si="0"/>
        <v>0</v>
      </c>
      <c r="E27" s="17">
        <f t="shared" si="9"/>
        <v>0</v>
      </c>
      <c r="F27" s="17">
        <f t="shared" si="1"/>
        <v>0</v>
      </c>
      <c r="G27" s="18">
        <f t="shared" si="10"/>
        <v>0</v>
      </c>
      <c r="H27" s="18">
        <f>IFERROR(IRR((J27,L27:CK27),0),0)</f>
        <v>0</v>
      </c>
      <c r="I27" s="52">
        <f t="shared" si="2"/>
        <v>0</v>
      </c>
      <c r="J27" s="17">
        <f t="shared" si="13"/>
        <v>0</v>
      </c>
      <c r="K27" s="28">
        <f t="shared" si="3"/>
        <v>0</v>
      </c>
      <c r="L27" s="8">
        <f t="shared" si="20"/>
        <v>0</v>
      </c>
      <c r="M27" s="8">
        <f t="shared" si="20"/>
        <v>0</v>
      </c>
      <c r="N27" s="8">
        <f t="shared" si="20"/>
        <v>0</v>
      </c>
      <c r="O27" s="8">
        <f t="shared" si="20"/>
        <v>0</v>
      </c>
      <c r="P27" s="8">
        <f t="shared" si="20"/>
        <v>0</v>
      </c>
      <c r="Q27" s="8">
        <f t="shared" si="20"/>
        <v>0</v>
      </c>
      <c r="R27" s="8">
        <f t="shared" si="20"/>
        <v>0</v>
      </c>
      <c r="S27" s="8">
        <f t="shared" si="20"/>
        <v>0</v>
      </c>
      <c r="T27" s="8">
        <f t="shared" si="20"/>
        <v>0</v>
      </c>
      <c r="U27" s="8">
        <f t="shared" si="20"/>
        <v>0</v>
      </c>
      <c r="V27" s="8">
        <f t="shared" si="20"/>
        <v>0</v>
      </c>
      <c r="W27" s="8">
        <f t="shared" si="20"/>
        <v>0</v>
      </c>
      <c r="X27" s="8">
        <f t="shared" si="20"/>
        <v>0</v>
      </c>
      <c r="Y27" s="8">
        <f t="shared" si="20"/>
        <v>0</v>
      </c>
      <c r="Z27" s="8">
        <f t="shared" si="20"/>
        <v>0</v>
      </c>
      <c r="AA27" s="8">
        <f t="shared" si="20"/>
        <v>0</v>
      </c>
      <c r="AB27" s="8">
        <f t="shared" si="17"/>
        <v>0</v>
      </c>
      <c r="AC27" s="8">
        <f t="shared" si="17"/>
        <v>0</v>
      </c>
      <c r="AD27" s="8">
        <f t="shared" si="17"/>
        <v>0</v>
      </c>
      <c r="AE27" s="8">
        <f t="shared" si="17"/>
        <v>0</v>
      </c>
      <c r="AF27" s="8">
        <f t="shared" si="17"/>
        <v>0</v>
      </c>
      <c r="AG27" s="8">
        <f t="shared" si="17"/>
        <v>0</v>
      </c>
      <c r="AH27" s="8">
        <f t="shared" si="17"/>
        <v>0</v>
      </c>
      <c r="AI27" s="8">
        <f t="shared" si="17"/>
        <v>0</v>
      </c>
      <c r="AJ27" s="8">
        <f t="shared" si="17"/>
        <v>0</v>
      </c>
      <c r="AK27" s="8">
        <f t="shared" si="17"/>
        <v>0</v>
      </c>
      <c r="AL27" s="8">
        <f t="shared" si="17"/>
        <v>0</v>
      </c>
      <c r="AM27" s="8">
        <f t="shared" si="17"/>
        <v>0</v>
      </c>
      <c r="AN27" s="8">
        <f t="shared" si="17"/>
        <v>0</v>
      </c>
      <c r="AO27" s="8">
        <f t="shared" si="17"/>
        <v>0</v>
      </c>
      <c r="AP27" s="8">
        <f t="shared" si="15"/>
        <v>0</v>
      </c>
      <c r="AQ27" s="8">
        <f t="shared" si="15"/>
        <v>0</v>
      </c>
      <c r="AR27" s="8">
        <f t="shared" si="15"/>
        <v>0</v>
      </c>
      <c r="AS27" s="8">
        <f t="shared" si="15"/>
        <v>0</v>
      </c>
      <c r="AT27" s="8">
        <f t="shared" si="15"/>
        <v>0</v>
      </c>
      <c r="AU27" s="8">
        <f t="shared" si="15"/>
        <v>0</v>
      </c>
      <c r="AV27" s="8">
        <f t="shared" si="15"/>
        <v>0</v>
      </c>
      <c r="AW27" s="8">
        <f t="shared" si="15"/>
        <v>0</v>
      </c>
      <c r="AX27" s="8">
        <f t="shared" si="15"/>
        <v>0</v>
      </c>
      <c r="AY27" s="8">
        <f t="shared" si="15"/>
        <v>0</v>
      </c>
      <c r="AZ27" s="8">
        <f t="shared" si="15"/>
        <v>0</v>
      </c>
      <c r="BA27" s="8">
        <f t="shared" si="15"/>
        <v>0</v>
      </c>
      <c r="BB27" s="8">
        <f t="shared" si="15"/>
        <v>0</v>
      </c>
      <c r="BC27" s="8">
        <f t="shared" si="15"/>
        <v>0</v>
      </c>
      <c r="BD27" s="8">
        <f t="shared" si="15"/>
        <v>0</v>
      </c>
      <c r="BE27" s="8">
        <f t="shared" si="15"/>
        <v>0</v>
      </c>
      <c r="BF27" s="8">
        <f t="shared" si="18"/>
        <v>0</v>
      </c>
      <c r="BG27" s="8">
        <f t="shared" si="18"/>
        <v>0</v>
      </c>
      <c r="BH27" s="8">
        <f t="shared" si="18"/>
        <v>0</v>
      </c>
      <c r="BI27" s="8">
        <f t="shared" si="18"/>
        <v>0</v>
      </c>
      <c r="BJ27" s="8">
        <f t="shared" si="18"/>
        <v>0</v>
      </c>
      <c r="BK27" s="8">
        <f t="shared" si="18"/>
        <v>0</v>
      </c>
      <c r="BL27" s="8">
        <f t="shared" si="18"/>
        <v>0</v>
      </c>
      <c r="BM27" s="8">
        <f t="shared" si="18"/>
        <v>0</v>
      </c>
      <c r="BN27" s="8">
        <f t="shared" si="18"/>
        <v>0</v>
      </c>
      <c r="BO27" s="8">
        <f t="shared" si="18"/>
        <v>0</v>
      </c>
      <c r="BP27" s="8">
        <f t="shared" si="18"/>
        <v>0</v>
      </c>
      <c r="BQ27" s="8">
        <f t="shared" si="18"/>
        <v>0</v>
      </c>
      <c r="BR27" s="8">
        <f t="shared" si="18"/>
        <v>0</v>
      </c>
      <c r="BS27" s="8">
        <f t="shared" si="18"/>
        <v>0</v>
      </c>
      <c r="BT27" s="8">
        <f t="shared" si="16"/>
        <v>0</v>
      </c>
      <c r="BU27" s="8">
        <f t="shared" si="16"/>
        <v>0</v>
      </c>
      <c r="BV27" s="8">
        <f t="shared" si="16"/>
        <v>0</v>
      </c>
      <c r="BW27" s="8">
        <f t="shared" si="16"/>
        <v>0</v>
      </c>
      <c r="BX27" s="8">
        <f t="shared" si="16"/>
        <v>0</v>
      </c>
      <c r="BY27" s="8">
        <f t="shared" si="16"/>
        <v>0</v>
      </c>
      <c r="BZ27" s="8">
        <f t="shared" si="16"/>
        <v>0</v>
      </c>
      <c r="CA27" s="8">
        <f t="shared" si="16"/>
        <v>0</v>
      </c>
      <c r="CB27" s="8">
        <f t="shared" si="16"/>
        <v>0</v>
      </c>
      <c r="CC27" s="8">
        <f t="shared" si="16"/>
        <v>0</v>
      </c>
      <c r="CD27" s="8">
        <f t="shared" si="19"/>
        <v>0</v>
      </c>
      <c r="CE27" s="8">
        <f t="shared" si="19"/>
        <v>0</v>
      </c>
      <c r="CF27" s="8">
        <f t="shared" si="19"/>
        <v>0</v>
      </c>
      <c r="CG27" s="8">
        <f t="shared" si="19"/>
        <v>0</v>
      </c>
      <c r="CH27" s="8">
        <f t="shared" si="19"/>
        <v>0</v>
      </c>
      <c r="CI27" s="8">
        <f t="shared" si="19"/>
        <v>0</v>
      </c>
      <c r="CJ27" s="8">
        <f t="shared" si="19"/>
        <v>0</v>
      </c>
      <c r="CK27" s="29">
        <f t="shared" si="19"/>
        <v>0</v>
      </c>
      <c r="CN27" s="8">
        <v>12</v>
      </c>
      <c r="CO27" s="16">
        <v>0.05</v>
      </c>
      <c r="CP27" s="16">
        <v>-1.5930318530233953E-2</v>
      </c>
      <c r="CQ27" s="16">
        <v>1.1464576620423009E-2</v>
      </c>
      <c r="CR27" s="16">
        <v>1.7662591972550518E-2</v>
      </c>
      <c r="CS27" s="16">
        <f t="shared" si="14"/>
        <v>6.3196850062739576E-2</v>
      </c>
    </row>
    <row r="28" spans="1:100" x14ac:dyDescent="0.45">
      <c r="A28" s="7"/>
      <c r="B28" s="57"/>
      <c r="C28" s="17"/>
      <c r="D28" s="17">
        <f t="shared" si="0"/>
        <v>0</v>
      </c>
      <c r="E28" s="17">
        <f t="shared" si="9"/>
        <v>0</v>
      </c>
      <c r="F28" s="17">
        <f t="shared" si="1"/>
        <v>0</v>
      </c>
      <c r="G28" s="18">
        <f t="shared" si="10"/>
        <v>0</v>
      </c>
      <c r="H28" s="18">
        <f>IFERROR(IRR((J28,L28:CK28),0),0)</f>
        <v>0</v>
      </c>
      <c r="I28" s="52">
        <f t="shared" si="2"/>
        <v>0</v>
      </c>
      <c r="J28" s="17">
        <f t="shared" si="13"/>
        <v>0</v>
      </c>
      <c r="K28" s="28">
        <f t="shared" si="3"/>
        <v>0</v>
      </c>
      <c r="L28" s="8">
        <f t="shared" si="20"/>
        <v>0</v>
      </c>
      <c r="M28" s="8">
        <f t="shared" si="20"/>
        <v>0</v>
      </c>
      <c r="N28" s="8">
        <f t="shared" si="20"/>
        <v>0</v>
      </c>
      <c r="O28" s="8">
        <f t="shared" si="20"/>
        <v>0</v>
      </c>
      <c r="P28" s="8">
        <f t="shared" si="20"/>
        <v>0</v>
      </c>
      <c r="Q28" s="8">
        <f t="shared" si="20"/>
        <v>0</v>
      </c>
      <c r="R28" s="8">
        <f t="shared" si="20"/>
        <v>0</v>
      </c>
      <c r="S28" s="8">
        <f t="shared" si="20"/>
        <v>0</v>
      </c>
      <c r="T28" s="8">
        <f t="shared" si="20"/>
        <v>0</v>
      </c>
      <c r="U28" s="8">
        <f t="shared" si="20"/>
        <v>0</v>
      </c>
      <c r="V28" s="8">
        <f t="shared" si="20"/>
        <v>0</v>
      </c>
      <c r="W28" s="8">
        <f t="shared" si="20"/>
        <v>0</v>
      </c>
      <c r="X28" s="8">
        <f t="shared" si="20"/>
        <v>0</v>
      </c>
      <c r="Y28" s="8">
        <f t="shared" si="20"/>
        <v>0</v>
      </c>
      <c r="Z28" s="8">
        <f t="shared" si="20"/>
        <v>0</v>
      </c>
      <c r="AA28" s="8">
        <f t="shared" si="20"/>
        <v>0</v>
      </c>
      <c r="AB28" s="8">
        <f t="shared" si="17"/>
        <v>0</v>
      </c>
      <c r="AC28" s="8">
        <f t="shared" si="17"/>
        <v>0</v>
      </c>
      <c r="AD28" s="8">
        <f t="shared" si="17"/>
        <v>0</v>
      </c>
      <c r="AE28" s="8">
        <f t="shared" si="17"/>
        <v>0</v>
      </c>
      <c r="AF28" s="8">
        <f t="shared" si="17"/>
        <v>0</v>
      </c>
      <c r="AG28" s="8">
        <f t="shared" si="17"/>
        <v>0</v>
      </c>
      <c r="AH28" s="8">
        <f t="shared" si="17"/>
        <v>0</v>
      </c>
      <c r="AI28" s="8">
        <f t="shared" si="17"/>
        <v>0</v>
      </c>
      <c r="AJ28" s="8">
        <f t="shared" si="17"/>
        <v>0</v>
      </c>
      <c r="AK28" s="8">
        <f t="shared" si="17"/>
        <v>0</v>
      </c>
      <c r="AL28" s="8">
        <f t="shared" si="17"/>
        <v>0</v>
      </c>
      <c r="AM28" s="8">
        <f t="shared" si="17"/>
        <v>0</v>
      </c>
      <c r="AN28" s="8">
        <f t="shared" si="17"/>
        <v>0</v>
      </c>
      <c r="AO28" s="8">
        <f t="shared" si="17"/>
        <v>0</v>
      </c>
      <c r="AP28" s="8">
        <f t="shared" si="15"/>
        <v>0</v>
      </c>
      <c r="AQ28" s="8">
        <f t="shared" si="15"/>
        <v>0</v>
      </c>
      <c r="AR28" s="8">
        <f t="shared" si="15"/>
        <v>0</v>
      </c>
      <c r="AS28" s="8">
        <f t="shared" si="15"/>
        <v>0</v>
      </c>
      <c r="AT28" s="8">
        <f t="shared" si="15"/>
        <v>0</v>
      </c>
      <c r="AU28" s="8">
        <f t="shared" si="15"/>
        <v>0</v>
      </c>
      <c r="AV28" s="8">
        <f t="shared" si="15"/>
        <v>0</v>
      </c>
      <c r="AW28" s="8">
        <f t="shared" si="15"/>
        <v>0</v>
      </c>
      <c r="AX28" s="8">
        <f t="shared" si="15"/>
        <v>0</v>
      </c>
      <c r="AY28" s="8">
        <f t="shared" si="15"/>
        <v>0</v>
      </c>
      <c r="AZ28" s="8">
        <f t="shared" si="15"/>
        <v>0</v>
      </c>
      <c r="BA28" s="8">
        <f t="shared" si="15"/>
        <v>0</v>
      </c>
      <c r="BB28" s="8">
        <f t="shared" si="15"/>
        <v>0</v>
      </c>
      <c r="BC28" s="8">
        <f t="shared" si="15"/>
        <v>0</v>
      </c>
      <c r="BD28" s="8">
        <f t="shared" si="15"/>
        <v>0</v>
      </c>
      <c r="BE28" s="8">
        <f t="shared" si="15"/>
        <v>0</v>
      </c>
      <c r="BF28" s="8">
        <f t="shared" si="18"/>
        <v>0</v>
      </c>
      <c r="BG28" s="8">
        <f t="shared" si="18"/>
        <v>0</v>
      </c>
      <c r="BH28" s="8">
        <f t="shared" si="18"/>
        <v>0</v>
      </c>
      <c r="BI28" s="8">
        <f t="shared" si="18"/>
        <v>0</v>
      </c>
      <c r="BJ28" s="8">
        <f t="shared" si="18"/>
        <v>0</v>
      </c>
      <c r="BK28" s="8">
        <f t="shared" si="18"/>
        <v>0</v>
      </c>
      <c r="BL28" s="8">
        <f t="shared" si="18"/>
        <v>0</v>
      </c>
      <c r="BM28" s="8">
        <f t="shared" si="18"/>
        <v>0</v>
      </c>
      <c r="BN28" s="8">
        <f t="shared" si="18"/>
        <v>0</v>
      </c>
      <c r="BO28" s="8">
        <f t="shared" si="18"/>
        <v>0</v>
      </c>
      <c r="BP28" s="8">
        <f t="shared" si="18"/>
        <v>0</v>
      </c>
      <c r="BQ28" s="8">
        <f t="shared" si="18"/>
        <v>0</v>
      </c>
      <c r="BR28" s="8">
        <f t="shared" si="18"/>
        <v>0</v>
      </c>
      <c r="BS28" s="8">
        <f t="shared" si="18"/>
        <v>0</v>
      </c>
      <c r="BT28" s="8">
        <f t="shared" si="16"/>
        <v>0</v>
      </c>
      <c r="BU28" s="8">
        <f t="shared" si="16"/>
        <v>0</v>
      </c>
      <c r="BV28" s="8">
        <f t="shared" si="16"/>
        <v>0</v>
      </c>
      <c r="BW28" s="8">
        <f t="shared" si="16"/>
        <v>0</v>
      </c>
      <c r="BX28" s="8">
        <f t="shared" si="16"/>
        <v>0</v>
      </c>
      <c r="BY28" s="8">
        <f t="shared" si="16"/>
        <v>0</v>
      </c>
      <c r="BZ28" s="8">
        <f t="shared" si="16"/>
        <v>0</v>
      </c>
      <c r="CA28" s="8">
        <f t="shared" si="16"/>
        <v>0</v>
      </c>
      <c r="CB28" s="8">
        <f t="shared" si="16"/>
        <v>0</v>
      </c>
      <c r="CC28" s="8">
        <f t="shared" si="16"/>
        <v>0</v>
      </c>
      <c r="CD28" s="8">
        <f t="shared" si="19"/>
        <v>0</v>
      </c>
      <c r="CE28" s="8">
        <f t="shared" si="19"/>
        <v>0</v>
      </c>
      <c r="CF28" s="8">
        <f t="shared" si="19"/>
        <v>0</v>
      </c>
      <c r="CG28" s="8">
        <f t="shared" si="19"/>
        <v>0</v>
      </c>
      <c r="CH28" s="8">
        <f t="shared" si="19"/>
        <v>0</v>
      </c>
      <c r="CI28" s="8">
        <f t="shared" si="19"/>
        <v>0</v>
      </c>
      <c r="CJ28" s="8">
        <f t="shared" si="19"/>
        <v>0</v>
      </c>
      <c r="CK28" s="29">
        <f t="shared" si="19"/>
        <v>0</v>
      </c>
      <c r="CN28" s="8">
        <v>12.5</v>
      </c>
      <c r="CO28" s="16">
        <v>0.05</v>
      </c>
      <c r="CP28" s="16">
        <v>-1.5732927984372324E-2</v>
      </c>
      <c r="CQ28" s="16">
        <v>1.1733459044066662E-2</v>
      </c>
      <c r="CR28" s="16">
        <v>1.8251038480924364E-2</v>
      </c>
      <c r="CS28" s="16">
        <f t="shared" si="14"/>
        <v>6.4251569540618697E-2</v>
      </c>
      <c r="CV28" s="55"/>
    </row>
    <row r="29" spans="1:100" x14ac:dyDescent="0.45">
      <c r="A29" s="7"/>
      <c r="B29" s="57"/>
      <c r="C29" s="17"/>
      <c r="D29" s="17">
        <f t="shared" si="0"/>
        <v>0</v>
      </c>
      <c r="E29" s="17">
        <f t="shared" si="9"/>
        <v>0</v>
      </c>
      <c r="F29" s="17">
        <f t="shared" si="1"/>
        <v>0</v>
      </c>
      <c r="G29" s="18">
        <f t="shared" si="10"/>
        <v>0</v>
      </c>
      <c r="H29" s="18">
        <f>IFERROR(IRR((J29,L29:CK29),0),0)</f>
        <v>0</v>
      </c>
      <c r="I29" s="52">
        <f t="shared" si="2"/>
        <v>0</v>
      </c>
      <c r="J29" s="17">
        <f t="shared" si="13"/>
        <v>0</v>
      </c>
      <c r="K29" s="28">
        <f t="shared" si="3"/>
        <v>0</v>
      </c>
      <c r="L29" s="8">
        <f t="shared" si="20"/>
        <v>0</v>
      </c>
      <c r="M29" s="8">
        <f t="shared" si="20"/>
        <v>0</v>
      </c>
      <c r="N29" s="8">
        <f t="shared" si="20"/>
        <v>0</v>
      </c>
      <c r="O29" s="8">
        <f t="shared" si="20"/>
        <v>0</v>
      </c>
      <c r="P29" s="8">
        <f t="shared" si="20"/>
        <v>0</v>
      </c>
      <c r="Q29" s="8">
        <f t="shared" si="20"/>
        <v>0</v>
      </c>
      <c r="R29" s="8">
        <f t="shared" si="20"/>
        <v>0</v>
      </c>
      <c r="S29" s="8">
        <f t="shared" si="20"/>
        <v>0</v>
      </c>
      <c r="T29" s="8">
        <f t="shared" si="20"/>
        <v>0</v>
      </c>
      <c r="U29" s="8">
        <f t="shared" si="20"/>
        <v>0</v>
      </c>
      <c r="V29" s="8">
        <f t="shared" si="20"/>
        <v>0</v>
      </c>
      <c r="W29" s="8">
        <f t="shared" si="20"/>
        <v>0</v>
      </c>
      <c r="X29" s="8">
        <f t="shared" si="20"/>
        <v>0</v>
      </c>
      <c r="Y29" s="8">
        <f t="shared" si="20"/>
        <v>0</v>
      </c>
      <c r="Z29" s="8">
        <f t="shared" si="20"/>
        <v>0</v>
      </c>
      <c r="AA29" s="8">
        <f t="shared" si="20"/>
        <v>0</v>
      </c>
      <c r="AB29" s="8">
        <f t="shared" si="17"/>
        <v>0</v>
      </c>
      <c r="AC29" s="8">
        <f t="shared" si="17"/>
        <v>0</v>
      </c>
      <c r="AD29" s="8">
        <f t="shared" si="17"/>
        <v>0</v>
      </c>
      <c r="AE29" s="8">
        <f t="shared" si="17"/>
        <v>0</v>
      </c>
      <c r="AF29" s="8">
        <f t="shared" si="17"/>
        <v>0</v>
      </c>
      <c r="AG29" s="8">
        <f t="shared" si="17"/>
        <v>0</v>
      </c>
      <c r="AH29" s="8">
        <f t="shared" si="17"/>
        <v>0</v>
      </c>
      <c r="AI29" s="8">
        <f t="shared" si="17"/>
        <v>0</v>
      </c>
      <c r="AJ29" s="8">
        <f t="shared" si="17"/>
        <v>0</v>
      </c>
      <c r="AK29" s="8">
        <f t="shared" si="17"/>
        <v>0</v>
      </c>
      <c r="AL29" s="8">
        <f t="shared" si="17"/>
        <v>0</v>
      </c>
      <c r="AM29" s="8">
        <f t="shared" si="17"/>
        <v>0</v>
      </c>
      <c r="AN29" s="8">
        <f t="shared" si="17"/>
        <v>0</v>
      </c>
      <c r="AO29" s="8">
        <f t="shared" si="17"/>
        <v>0</v>
      </c>
      <c r="AP29" s="8">
        <f t="shared" si="15"/>
        <v>0</v>
      </c>
      <c r="AQ29" s="8">
        <f t="shared" si="15"/>
        <v>0</v>
      </c>
      <c r="AR29" s="8">
        <f t="shared" si="15"/>
        <v>0</v>
      </c>
      <c r="AS29" s="8">
        <f t="shared" si="15"/>
        <v>0</v>
      </c>
      <c r="AT29" s="8">
        <f t="shared" si="15"/>
        <v>0</v>
      </c>
      <c r="AU29" s="8">
        <f t="shared" si="15"/>
        <v>0</v>
      </c>
      <c r="AV29" s="8">
        <f t="shared" si="15"/>
        <v>0</v>
      </c>
      <c r="AW29" s="8">
        <f t="shared" si="15"/>
        <v>0</v>
      </c>
      <c r="AX29" s="8">
        <f t="shared" si="15"/>
        <v>0</v>
      </c>
      <c r="AY29" s="8">
        <f t="shared" si="15"/>
        <v>0</v>
      </c>
      <c r="AZ29" s="8">
        <f t="shared" si="15"/>
        <v>0</v>
      </c>
      <c r="BA29" s="8">
        <f t="shared" si="15"/>
        <v>0</v>
      </c>
      <c r="BB29" s="8">
        <f t="shared" si="15"/>
        <v>0</v>
      </c>
      <c r="BC29" s="8">
        <f t="shared" si="15"/>
        <v>0</v>
      </c>
      <c r="BD29" s="8">
        <f t="shared" si="15"/>
        <v>0</v>
      </c>
      <c r="BE29" s="8">
        <f t="shared" si="15"/>
        <v>0</v>
      </c>
      <c r="BF29" s="8">
        <f t="shared" si="18"/>
        <v>0</v>
      </c>
      <c r="BG29" s="8">
        <f t="shared" si="18"/>
        <v>0</v>
      </c>
      <c r="BH29" s="8">
        <f t="shared" si="18"/>
        <v>0</v>
      </c>
      <c r="BI29" s="8">
        <f t="shared" si="18"/>
        <v>0</v>
      </c>
      <c r="BJ29" s="8">
        <f t="shared" si="18"/>
        <v>0</v>
      </c>
      <c r="BK29" s="8">
        <f t="shared" si="18"/>
        <v>0</v>
      </c>
      <c r="BL29" s="8">
        <f t="shared" si="18"/>
        <v>0</v>
      </c>
      <c r="BM29" s="8">
        <f t="shared" si="18"/>
        <v>0</v>
      </c>
      <c r="BN29" s="8">
        <f t="shared" si="18"/>
        <v>0</v>
      </c>
      <c r="BO29" s="8">
        <f t="shared" si="18"/>
        <v>0</v>
      </c>
      <c r="BP29" s="8">
        <f t="shared" si="18"/>
        <v>0</v>
      </c>
      <c r="BQ29" s="8">
        <f t="shared" si="18"/>
        <v>0</v>
      </c>
      <c r="BR29" s="8">
        <f t="shared" si="18"/>
        <v>0</v>
      </c>
      <c r="BS29" s="8">
        <f t="shared" si="18"/>
        <v>0</v>
      </c>
      <c r="BT29" s="8">
        <f t="shared" si="16"/>
        <v>0</v>
      </c>
      <c r="BU29" s="8">
        <f t="shared" si="16"/>
        <v>0</v>
      </c>
      <c r="BV29" s="8">
        <f t="shared" si="16"/>
        <v>0</v>
      </c>
      <c r="BW29" s="8">
        <f t="shared" si="16"/>
        <v>0</v>
      </c>
      <c r="BX29" s="8">
        <f t="shared" si="16"/>
        <v>0</v>
      </c>
      <c r="BY29" s="8">
        <f t="shared" si="16"/>
        <v>0</v>
      </c>
      <c r="BZ29" s="8">
        <f t="shared" si="16"/>
        <v>0</v>
      </c>
      <c r="CA29" s="8">
        <f t="shared" si="16"/>
        <v>0</v>
      </c>
      <c r="CB29" s="8">
        <f t="shared" si="16"/>
        <v>0</v>
      </c>
      <c r="CC29" s="8">
        <f t="shared" si="16"/>
        <v>0</v>
      </c>
      <c r="CD29" s="8">
        <f t="shared" si="19"/>
        <v>0</v>
      </c>
      <c r="CE29" s="8">
        <f t="shared" si="19"/>
        <v>0</v>
      </c>
      <c r="CF29" s="8">
        <f t="shared" si="19"/>
        <v>0</v>
      </c>
      <c r="CG29" s="8">
        <f t="shared" si="19"/>
        <v>0</v>
      </c>
      <c r="CH29" s="8">
        <f t="shared" si="19"/>
        <v>0</v>
      </c>
      <c r="CI29" s="8">
        <f t="shared" si="19"/>
        <v>0</v>
      </c>
      <c r="CJ29" s="8">
        <f t="shared" si="19"/>
        <v>0</v>
      </c>
      <c r="CK29" s="29">
        <f t="shared" si="19"/>
        <v>0</v>
      </c>
      <c r="CN29" s="8">
        <v>13</v>
      </c>
      <c r="CO29" s="16">
        <v>0.05</v>
      </c>
      <c r="CP29" s="16">
        <v>-1.553898416509376E-2</v>
      </c>
      <c r="CQ29" s="16">
        <v>1.1990005681211521E-2</v>
      </c>
      <c r="CR29" s="16">
        <v>1.8829082136403046E-2</v>
      </c>
      <c r="CS29" s="16">
        <f t="shared" si="14"/>
        <v>6.5280103652520807E-2</v>
      </c>
    </row>
    <row r="30" spans="1:100" x14ac:dyDescent="0.45">
      <c r="A30" s="7"/>
      <c r="B30" s="57"/>
      <c r="C30" s="17"/>
      <c r="D30" s="17">
        <f t="shared" si="0"/>
        <v>0</v>
      </c>
      <c r="E30" s="17">
        <f t="shared" si="9"/>
        <v>0</v>
      </c>
      <c r="F30" s="17">
        <f t="shared" si="1"/>
        <v>0</v>
      </c>
      <c r="G30" s="18">
        <f t="shared" si="10"/>
        <v>0</v>
      </c>
      <c r="H30" s="18">
        <f>IFERROR(IRR((J30,L30:CK30),0),0)</f>
        <v>0</v>
      </c>
      <c r="I30" s="52">
        <f t="shared" si="2"/>
        <v>0</v>
      </c>
      <c r="J30" s="17">
        <f t="shared" si="13"/>
        <v>0</v>
      </c>
      <c r="K30" s="28">
        <f t="shared" si="3"/>
        <v>0</v>
      </c>
      <c r="L30" s="8">
        <f t="shared" si="20"/>
        <v>0</v>
      </c>
      <c r="M30" s="8">
        <f t="shared" si="20"/>
        <v>0</v>
      </c>
      <c r="N30" s="8">
        <f t="shared" si="20"/>
        <v>0</v>
      </c>
      <c r="O30" s="8">
        <f t="shared" si="20"/>
        <v>0</v>
      </c>
      <c r="P30" s="8">
        <f t="shared" si="20"/>
        <v>0</v>
      </c>
      <c r="Q30" s="8">
        <f t="shared" si="20"/>
        <v>0</v>
      </c>
      <c r="R30" s="8">
        <f t="shared" si="20"/>
        <v>0</v>
      </c>
      <c r="S30" s="8">
        <f t="shared" si="20"/>
        <v>0</v>
      </c>
      <c r="T30" s="8">
        <f t="shared" si="20"/>
        <v>0</v>
      </c>
      <c r="U30" s="8">
        <f t="shared" si="20"/>
        <v>0</v>
      </c>
      <c r="V30" s="8">
        <f t="shared" si="20"/>
        <v>0</v>
      </c>
      <c r="W30" s="8">
        <f t="shared" si="20"/>
        <v>0</v>
      </c>
      <c r="X30" s="8">
        <f t="shared" si="20"/>
        <v>0</v>
      </c>
      <c r="Y30" s="8">
        <f t="shared" si="20"/>
        <v>0</v>
      </c>
      <c r="Z30" s="8">
        <f t="shared" si="20"/>
        <v>0</v>
      </c>
      <c r="AA30" s="8">
        <f t="shared" si="20"/>
        <v>0</v>
      </c>
      <c r="AB30" s="8">
        <f t="shared" si="17"/>
        <v>0</v>
      </c>
      <c r="AC30" s="8">
        <f t="shared" si="17"/>
        <v>0</v>
      </c>
      <c r="AD30" s="8">
        <f t="shared" si="17"/>
        <v>0</v>
      </c>
      <c r="AE30" s="8">
        <f t="shared" si="17"/>
        <v>0</v>
      </c>
      <c r="AF30" s="8">
        <f t="shared" si="17"/>
        <v>0</v>
      </c>
      <c r="AG30" s="8">
        <f t="shared" si="17"/>
        <v>0</v>
      </c>
      <c r="AH30" s="8">
        <f t="shared" si="17"/>
        <v>0</v>
      </c>
      <c r="AI30" s="8">
        <f t="shared" si="17"/>
        <v>0</v>
      </c>
      <c r="AJ30" s="8">
        <f t="shared" si="17"/>
        <v>0</v>
      </c>
      <c r="AK30" s="8">
        <f t="shared" si="17"/>
        <v>0</v>
      </c>
      <c r="AL30" s="8">
        <f t="shared" si="17"/>
        <v>0</v>
      </c>
      <c r="AM30" s="8">
        <f t="shared" si="17"/>
        <v>0</v>
      </c>
      <c r="AN30" s="8">
        <f t="shared" si="17"/>
        <v>0</v>
      </c>
      <c r="AO30" s="8">
        <f t="shared" si="17"/>
        <v>0</v>
      </c>
      <c r="AP30" s="8">
        <f t="shared" si="15"/>
        <v>0</v>
      </c>
      <c r="AQ30" s="8">
        <f t="shared" si="15"/>
        <v>0</v>
      </c>
      <c r="AR30" s="8">
        <f t="shared" si="15"/>
        <v>0</v>
      </c>
      <c r="AS30" s="8">
        <f t="shared" si="15"/>
        <v>0</v>
      </c>
      <c r="AT30" s="8">
        <f t="shared" si="15"/>
        <v>0</v>
      </c>
      <c r="AU30" s="8">
        <f t="shared" si="15"/>
        <v>0</v>
      </c>
      <c r="AV30" s="8">
        <f t="shared" si="15"/>
        <v>0</v>
      </c>
      <c r="AW30" s="8">
        <f t="shared" si="15"/>
        <v>0</v>
      </c>
      <c r="AX30" s="8">
        <f t="shared" si="15"/>
        <v>0</v>
      </c>
      <c r="AY30" s="8">
        <f t="shared" si="15"/>
        <v>0</v>
      </c>
      <c r="AZ30" s="8">
        <f t="shared" si="15"/>
        <v>0</v>
      </c>
      <c r="BA30" s="8">
        <f t="shared" si="15"/>
        <v>0</v>
      </c>
      <c r="BB30" s="8">
        <f t="shared" si="15"/>
        <v>0</v>
      </c>
      <c r="BC30" s="8">
        <f t="shared" si="15"/>
        <v>0</v>
      </c>
      <c r="BD30" s="8">
        <f t="shared" si="15"/>
        <v>0</v>
      </c>
      <c r="BE30" s="8">
        <f t="shared" si="15"/>
        <v>0</v>
      </c>
      <c r="BF30" s="8">
        <f t="shared" si="18"/>
        <v>0</v>
      </c>
      <c r="BG30" s="8">
        <f t="shared" si="18"/>
        <v>0</v>
      </c>
      <c r="BH30" s="8">
        <f t="shared" si="18"/>
        <v>0</v>
      </c>
      <c r="BI30" s="8">
        <f t="shared" si="18"/>
        <v>0</v>
      </c>
      <c r="BJ30" s="8">
        <f t="shared" si="18"/>
        <v>0</v>
      </c>
      <c r="BK30" s="8">
        <f t="shared" si="18"/>
        <v>0</v>
      </c>
      <c r="BL30" s="8">
        <f t="shared" si="18"/>
        <v>0</v>
      </c>
      <c r="BM30" s="8">
        <f t="shared" si="18"/>
        <v>0</v>
      </c>
      <c r="BN30" s="8">
        <f t="shared" si="18"/>
        <v>0</v>
      </c>
      <c r="BO30" s="8">
        <f t="shared" si="18"/>
        <v>0</v>
      </c>
      <c r="BP30" s="8">
        <f t="shared" si="18"/>
        <v>0</v>
      </c>
      <c r="BQ30" s="8">
        <f t="shared" si="18"/>
        <v>0</v>
      </c>
      <c r="BR30" s="8">
        <f t="shared" si="18"/>
        <v>0</v>
      </c>
      <c r="BS30" s="8">
        <f t="shared" si="18"/>
        <v>0</v>
      </c>
      <c r="BT30" s="8">
        <f t="shared" si="16"/>
        <v>0</v>
      </c>
      <c r="BU30" s="8">
        <f t="shared" si="16"/>
        <v>0</v>
      </c>
      <c r="BV30" s="8">
        <f t="shared" si="16"/>
        <v>0</v>
      </c>
      <c r="BW30" s="8">
        <f t="shared" si="16"/>
        <v>0</v>
      </c>
      <c r="BX30" s="8">
        <f t="shared" si="16"/>
        <v>0</v>
      </c>
      <c r="BY30" s="8">
        <f t="shared" si="16"/>
        <v>0</v>
      </c>
      <c r="BZ30" s="8">
        <f t="shared" si="16"/>
        <v>0</v>
      </c>
      <c r="CA30" s="8">
        <f t="shared" si="16"/>
        <v>0</v>
      </c>
      <c r="CB30" s="8">
        <f t="shared" si="16"/>
        <v>0</v>
      </c>
      <c r="CC30" s="8">
        <f t="shared" si="16"/>
        <v>0</v>
      </c>
      <c r="CD30" s="8">
        <f t="shared" si="19"/>
        <v>0</v>
      </c>
      <c r="CE30" s="8">
        <f t="shared" si="19"/>
        <v>0</v>
      </c>
      <c r="CF30" s="8">
        <f t="shared" si="19"/>
        <v>0</v>
      </c>
      <c r="CG30" s="8">
        <f t="shared" si="19"/>
        <v>0</v>
      </c>
      <c r="CH30" s="8">
        <f t="shared" si="19"/>
        <v>0</v>
      </c>
      <c r="CI30" s="8">
        <f t="shared" si="19"/>
        <v>0</v>
      </c>
      <c r="CJ30" s="8">
        <f t="shared" si="19"/>
        <v>0</v>
      </c>
      <c r="CK30" s="29">
        <f t="shared" si="19"/>
        <v>0</v>
      </c>
      <c r="CN30" s="8">
        <v>13.5</v>
      </c>
      <c r="CO30" s="16">
        <v>0.05</v>
      </c>
      <c r="CP30" s="16">
        <v>-1.5348417786473879E-2</v>
      </c>
      <c r="CQ30" s="16">
        <v>1.2234622158177137E-2</v>
      </c>
      <c r="CR30" s="16">
        <v>1.9396869945021655E-2</v>
      </c>
      <c r="CS30" s="16">
        <f t="shared" si="14"/>
        <v>6.6283074316724921E-2</v>
      </c>
    </row>
    <row r="31" spans="1:100" x14ac:dyDescent="0.45">
      <c r="A31" s="7"/>
      <c r="B31" s="57"/>
      <c r="C31" s="17"/>
      <c r="D31" s="17">
        <f t="shared" si="0"/>
        <v>0</v>
      </c>
      <c r="E31" s="17">
        <f t="shared" si="9"/>
        <v>0</v>
      </c>
      <c r="F31" s="17">
        <f t="shared" si="1"/>
        <v>0</v>
      </c>
      <c r="G31" s="18">
        <f t="shared" si="10"/>
        <v>0</v>
      </c>
      <c r="H31" s="18">
        <f>IFERROR(IRR((J31,L31:CK31),0),0)</f>
        <v>0</v>
      </c>
      <c r="I31" s="52">
        <f t="shared" si="2"/>
        <v>0</v>
      </c>
      <c r="J31" s="17">
        <f t="shared" si="13"/>
        <v>0</v>
      </c>
      <c r="K31" s="28">
        <f t="shared" si="3"/>
        <v>0</v>
      </c>
      <c r="L31" s="8">
        <f t="shared" si="20"/>
        <v>0</v>
      </c>
      <c r="M31" s="8">
        <f t="shared" si="20"/>
        <v>0</v>
      </c>
      <c r="N31" s="8">
        <f t="shared" si="20"/>
        <v>0</v>
      </c>
      <c r="O31" s="8">
        <f t="shared" si="20"/>
        <v>0</v>
      </c>
      <c r="P31" s="8">
        <f t="shared" si="20"/>
        <v>0</v>
      </c>
      <c r="Q31" s="8">
        <f t="shared" si="20"/>
        <v>0</v>
      </c>
      <c r="R31" s="8">
        <f t="shared" si="20"/>
        <v>0</v>
      </c>
      <c r="S31" s="8">
        <f t="shared" si="20"/>
        <v>0</v>
      </c>
      <c r="T31" s="8">
        <f t="shared" si="20"/>
        <v>0</v>
      </c>
      <c r="U31" s="8">
        <f t="shared" si="20"/>
        <v>0</v>
      </c>
      <c r="V31" s="8">
        <f t="shared" si="20"/>
        <v>0</v>
      </c>
      <c r="W31" s="8">
        <f t="shared" si="20"/>
        <v>0</v>
      </c>
      <c r="X31" s="8">
        <f t="shared" si="20"/>
        <v>0</v>
      </c>
      <c r="Y31" s="8">
        <f t="shared" si="20"/>
        <v>0</v>
      </c>
      <c r="Z31" s="8">
        <f t="shared" si="20"/>
        <v>0</v>
      </c>
      <c r="AA31" s="8">
        <f t="shared" si="20"/>
        <v>0</v>
      </c>
      <c r="AB31" s="8">
        <f t="shared" si="17"/>
        <v>0</v>
      </c>
      <c r="AC31" s="8">
        <f t="shared" si="17"/>
        <v>0</v>
      </c>
      <c r="AD31" s="8">
        <f t="shared" si="17"/>
        <v>0</v>
      </c>
      <c r="AE31" s="8">
        <f t="shared" si="17"/>
        <v>0</v>
      </c>
      <c r="AF31" s="8">
        <f t="shared" si="17"/>
        <v>0</v>
      </c>
      <c r="AG31" s="8">
        <f t="shared" si="17"/>
        <v>0</v>
      </c>
      <c r="AH31" s="8">
        <f t="shared" si="17"/>
        <v>0</v>
      </c>
      <c r="AI31" s="8">
        <f t="shared" si="17"/>
        <v>0</v>
      </c>
      <c r="AJ31" s="8">
        <f t="shared" si="17"/>
        <v>0</v>
      </c>
      <c r="AK31" s="8">
        <f t="shared" si="17"/>
        <v>0</v>
      </c>
      <c r="AL31" s="8">
        <f t="shared" si="17"/>
        <v>0</v>
      </c>
      <c r="AM31" s="8">
        <f t="shared" si="17"/>
        <v>0</v>
      </c>
      <c r="AN31" s="8">
        <f t="shared" si="17"/>
        <v>0</v>
      </c>
      <c r="AO31" s="8">
        <f t="shared" si="17"/>
        <v>0</v>
      </c>
      <c r="AP31" s="8">
        <f t="shared" si="15"/>
        <v>0</v>
      </c>
      <c r="AQ31" s="8">
        <f t="shared" si="15"/>
        <v>0</v>
      </c>
      <c r="AR31" s="8">
        <f t="shared" si="15"/>
        <v>0</v>
      </c>
      <c r="AS31" s="8">
        <f t="shared" si="15"/>
        <v>0</v>
      </c>
      <c r="AT31" s="8">
        <f t="shared" si="15"/>
        <v>0</v>
      </c>
      <c r="AU31" s="8">
        <f t="shared" si="15"/>
        <v>0</v>
      </c>
      <c r="AV31" s="8">
        <f t="shared" si="15"/>
        <v>0</v>
      </c>
      <c r="AW31" s="8">
        <f t="shared" si="15"/>
        <v>0</v>
      </c>
      <c r="AX31" s="8">
        <f t="shared" si="15"/>
        <v>0</v>
      </c>
      <c r="AY31" s="8">
        <f t="shared" si="15"/>
        <v>0</v>
      </c>
      <c r="AZ31" s="8">
        <f t="shared" si="15"/>
        <v>0</v>
      </c>
      <c r="BA31" s="8">
        <f t="shared" si="15"/>
        <v>0</v>
      </c>
      <c r="BB31" s="8">
        <f t="shared" si="15"/>
        <v>0</v>
      </c>
      <c r="BC31" s="8">
        <f t="shared" si="15"/>
        <v>0</v>
      </c>
      <c r="BD31" s="8">
        <f t="shared" si="15"/>
        <v>0</v>
      </c>
      <c r="BE31" s="8">
        <f t="shared" si="15"/>
        <v>0</v>
      </c>
      <c r="BF31" s="8">
        <f t="shared" si="18"/>
        <v>0</v>
      </c>
      <c r="BG31" s="8">
        <f t="shared" si="18"/>
        <v>0</v>
      </c>
      <c r="BH31" s="8">
        <f t="shared" si="18"/>
        <v>0</v>
      </c>
      <c r="BI31" s="8">
        <f t="shared" si="18"/>
        <v>0</v>
      </c>
      <c r="BJ31" s="8">
        <f t="shared" si="18"/>
        <v>0</v>
      </c>
      <c r="BK31" s="8">
        <f t="shared" si="18"/>
        <v>0</v>
      </c>
      <c r="BL31" s="8">
        <f t="shared" si="18"/>
        <v>0</v>
      </c>
      <c r="BM31" s="8">
        <f t="shared" si="18"/>
        <v>0</v>
      </c>
      <c r="BN31" s="8">
        <f t="shared" si="18"/>
        <v>0</v>
      </c>
      <c r="BO31" s="8">
        <f t="shared" si="18"/>
        <v>0</v>
      </c>
      <c r="BP31" s="8">
        <f t="shared" si="18"/>
        <v>0</v>
      </c>
      <c r="BQ31" s="8">
        <f t="shared" si="18"/>
        <v>0</v>
      </c>
      <c r="BR31" s="8">
        <f t="shared" si="18"/>
        <v>0</v>
      </c>
      <c r="BS31" s="8">
        <f t="shared" si="18"/>
        <v>0</v>
      </c>
      <c r="BT31" s="8">
        <f t="shared" si="16"/>
        <v>0</v>
      </c>
      <c r="BU31" s="8">
        <f t="shared" si="16"/>
        <v>0</v>
      </c>
      <c r="BV31" s="8">
        <f t="shared" si="16"/>
        <v>0</v>
      </c>
      <c r="BW31" s="8">
        <f t="shared" si="16"/>
        <v>0</v>
      </c>
      <c r="BX31" s="8">
        <f t="shared" si="16"/>
        <v>0</v>
      </c>
      <c r="BY31" s="8">
        <f t="shared" si="16"/>
        <v>0</v>
      </c>
      <c r="BZ31" s="8">
        <f t="shared" si="16"/>
        <v>0</v>
      </c>
      <c r="CA31" s="8">
        <f t="shared" si="16"/>
        <v>0</v>
      </c>
      <c r="CB31" s="8">
        <f t="shared" si="16"/>
        <v>0</v>
      </c>
      <c r="CC31" s="8">
        <f t="shared" si="16"/>
        <v>0</v>
      </c>
      <c r="CD31" s="8">
        <f t="shared" si="19"/>
        <v>0</v>
      </c>
      <c r="CE31" s="8">
        <f t="shared" si="19"/>
        <v>0</v>
      </c>
      <c r="CF31" s="8">
        <f t="shared" si="19"/>
        <v>0</v>
      </c>
      <c r="CG31" s="8">
        <f t="shared" si="19"/>
        <v>0</v>
      </c>
      <c r="CH31" s="8">
        <f t="shared" si="19"/>
        <v>0</v>
      </c>
      <c r="CI31" s="8">
        <f t="shared" si="19"/>
        <v>0</v>
      </c>
      <c r="CJ31" s="8">
        <f t="shared" si="19"/>
        <v>0</v>
      </c>
      <c r="CK31" s="29">
        <f t="shared" si="19"/>
        <v>0</v>
      </c>
      <c r="CN31" s="8">
        <v>14</v>
      </c>
      <c r="CO31" s="16">
        <v>0.05</v>
      </c>
      <c r="CP31" s="16">
        <v>-1.5161161065649822E-2</v>
      </c>
      <c r="CQ31" s="16">
        <v>1.2467701836504546E-2</v>
      </c>
      <c r="CR31" s="16">
        <v>1.9954546965353974E-2</v>
      </c>
      <c r="CS31" s="16">
        <f t="shared" si="14"/>
        <v>6.7261087736208702E-2</v>
      </c>
    </row>
    <row r="32" spans="1:100" x14ac:dyDescent="0.45">
      <c r="A32" s="7"/>
      <c r="B32" s="57"/>
      <c r="C32" s="17"/>
      <c r="D32" s="17">
        <f t="shared" si="0"/>
        <v>0</v>
      </c>
      <c r="E32" s="17">
        <f t="shared" si="9"/>
        <v>0</v>
      </c>
      <c r="F32" s="17">
        <f t="shared" si="1"/>
        <v>0</v>
      </c>
      <c r="G32" s="18">
        <f t="shared" si="10"/>
        <v>0</v>
      </c>
      <c r="H32" s="18">
        <f>IFERROR(IRR((J32,L32:CK32),0),0)</f>
        <v>0</v>
      </c>
      <c r="I32" s="52">
        <f t="shared" si="2"/>
        <v>0</v>
      </c>
      <c r="J32" s="17">
        <f t="shared" si="13"/>
        <v>0</v>
      </c>
      <c r="K32" s="28">
        <f t="shared" si="3"/>
        <v>0</v>
      </c>
      <c r="L32" s="8">
        <f t="shared" si="20"/>
        <v>0</v>
      </c>
      <c r="M32" s="8">
        <f t="shared" si="20"/>
        <v>0</v>
      </c>
      <c r="N32" s="8">
        <f t="shared" si="20"/>
        <v>0</v>
      </c>
      <c r="O32" s="8">
        <f t="shared" si="20"/>
        <v>0</v>
      </c>
      <c r="P32" s="8">
        <f t="shared" si="20"/>
        <v>0</v>
      </c>
      <c r="Q32" s="8">
        <f t="shared" si="20"/>
        <v>0</v>
      </c>
      <c r="R32" s="8">
        <f t="shared" si="20"/>
        <v>0</v>
      </c>
      <c r="S32" s="8">
        <f t="shared" si="20"/>
        <v>0</v>
      </c>
      <c r="T32" s="8">
        <f t="shared" si="20"/>
        <v>0</v>
      </c>
      <c r="U32" s="8">
        <f t="shared" si="20"/>
        <v>0</v>
      </c>
      <c r="V32" s="8">
        <f t="shared" si="20"/>
        <v>0</v>
      </c>
      <c r="W32" s="8">
        <f t="shared" si="20"/>
        <v>0</v>
      </c>
      <c r="X32" s="8">
        <f t="shared" si="20"/>
        <v>0</v>
      </c>
      <c r="Y32" s="8">
        <f t="shared" si="20"/>
        <v>0</v>
      </c>
      <c r="Z32" s="8">
        <f t="shared" si="20"/>
        <v>0</v>
      </c>
      <c r="AA32" s="8">
        <f t="shared" si="20"/>
        <v>0</v>
      </c>
      <c r="AB32" s="8">
        <f t="shared" si="17"/>
        <v>0</v>
      </c>
      <c r="AC32" s="8">
        <f t="shared" si="17"/>
        <v>0</v>
      </c>
      <c r="AD32" s="8">
        <f t="shared" si="17"/>
        <v>0</v>
      </c>
      <c r="AE32" s="8">
        <f t="shared" si="17"/>
        <v>0</v>
      </c>
      <c r="AF32" s="8">
        <f t="shared" si="17"/>
        <v>0</v>
      </c>
      <c r="AG32" s="8">
        <f t="shared" si="17"/>
        <v>0</v>
      </c>
      <c r="AH32" s="8">
        <f t="shared" si="17"/>
        <v>0</v>
      </c>
      <c r="AI32" s="8">
        <f t="shared" si="17"/>
        <v>0</v>
      </c>
      <c r="AJ32" s="8">
        <f t="shared" si="17"/>
        <v>0</v>
      </c>
      <c r="AK32" s="8">
        <f t="shared" si="17"/>
        <v>0</v>
      </c>
      <c r="AL32" s="8">
        <f t="shared" si="17"/>
        <v>0</v>
      </c>
      <c r="AM32" s="8">
        <f t="shared" si="17"/>
        <v>0</v>
      </c>
      <c r="AN32" s="8">
        <f t="shared" si="17"/>
        <v>0</v>
      </c>
      <c r="AO32" s="8">
        <f t="shared" si="17"/>
        <v>0</v>
      </c>
      <c r="AP32" s="8">
        <f t="shared" si="15"/>
        <v>0</v>
      </c>
      <c r="AQ32" s="8">
        <f t="shared" si="15"/>
        <v>0</v>
      </c>
      <c r="AR32" s="8">
        <f t="shared" si="15"/>
        <v>0</v>
      </c>
      <c r="AS32" s="8">
        <f t="shared" si="15"/>
        <v>0</v>
      </c>
      <c r="AT32" s="8">
        <f t="shared" si="15"/>
        <v>0</v>
      </c>
      <c r="AU32" s="8">
        <f t="shared" si="15"/>
        <v>0</v>
      </c>
      <c r="AV32" s="8">
        <f t="shared" si="15"/>
        <v>0</v>
      </c>
      <c r="AW32" s="8">
        <f t="shared" si="15"/>
        <v>0</v>
      </c>
      <c r="AX32" s="8">
        <f t="shared" si="15"/>
        <v>0</v>
      </c>
      <c r="AY32" s="8">
        <f t="shared" si="15"/>
        <v>0</v>
      </c>
      <c r="AZ32" s="8">
        <f t="shared" si="15"/>
        <v>0</v>
      </c>
      <c r="BA32" s="8">
        <f t="shared" si="15"/>
        <v>0</v>
      </c>
      <c r="BB32" s="8">
        <f t="shared" si="15"/>
        <v>0</v>
      </c>
      <c r="BC32" s="8">
        <f t="shared" si="15"/>
        <v>0</v>
      </c>
      <c r="BD32" s="8">
        <f t="shared" si="15"/>
        <v>0</v>
      </c>
      <c r="BE32" s="8">
        <f t="shared" si="15"/>
        <v>0</v>
      </c>
      <c r="BF32" s="8">
        <f t="shared" si="18"/>
        <v>0</v>
      </c>
      <c r="BG32" s="8">
        <f t="shared" si="18"/>
        <v>0</v>
      </c>
      <c r="BH32" s="8">
        <f t="shared" si="18"/>
        <v>0</v>
      </c>
      <c r="BI32" s="8">
        <f t="shared" si="18"/>
        <v>0</v>
      </c>
      <c r="BJ32" s="8">
        <f t="shared" si="18"/>
        <v>0</v>
      </c>
      <c r="BK32" s="8">
        <f t="shared" si="18"/>
        <v>0</v>
      </c>
      <c r="BL32" s="8">
        <f t="shared" si="18"/>
        <v>0</v>
      </c>
      <c r="BM32" s="8">
        <f t="shared" si="18"/>
        <v>0</v>
      </c>
      <c r="BN32" s="8">
        <f t="shared" si="18"/>
        <v>0</v>
      </c>
      <c r="BO32" s="8">
        <f t="shared" si="18"/>
        <v>0</v>
      </c>
      <c r="BP32" s="8">
        <f t="shared" si="18"/>
        <v>0</v>
      </c>
      <c r="BQ32" s="8">
        <f t="shared" si="18"/>
        <v>0</v>
      </c>
      <c r="BR32" s="8">
        <f t="shared" si="18"/>
        <v>0</v>
      </c>
      <c r="BS32" s="8">
        <f t="shared" si="18"/>
        <v>0</v>
      </c>
      <c r="BT32" s="8">
        <f t="shared" si="16"/>
        <v>0</v>
      </c>
      <c r="BU32" s="8">
        <f t="shared" si="16"/>
        <v>0</v>
      </c>
      <c r="BV32" s="8">
        <f t="shared" si="16"/>
        <v>0</v>
      </c>
      <c r="BW32" s="8">
        <f t="shared" si="16"/>
        <v>0</v>
      </c>
      <c r="BX32" s="8">
        <f t="shared" si="16"/>
        <v>0</v>
      </c>
      <c r="BY32" s="8">
        <f t="shared" si="16"/>
        <v>0</v>
      </c>
      <c r="BZ32" s="8">
        <f t="shared" si="16"/>
        <v>0</v>
      </c>
      <c r="CA32" s="8">
        <f t="shared" si="16"/>
        <v>0</v>
      </c>
      <c r="CB32" s="8">
        <f t="shared" si="16"/>
        <v>0</v>
      </c>
      <c r="CC32" s="8">
        <f t="shared" si="16"/>
        <v>0</v>
      </c>
      <c r="CD32" s="8">
        <f t="shared" si="19"/>
        <v>0</v>
      </c>
      <c r="CE32" s="8">
        <f t="shared" si="19"/>
        <v>0</v>
      </c>
      <c r="CF32" s="8">
        <f t="shared" si="19"/>
        <v>0</v>
      </c>
      <c r="CG32" s="8">
        <f t="shared" si="19"/>
        <v>0</v>
      </c>
      <c r="CH32" s="8">
        <f t="shared" si="19"/>
        <v>0</v>
      </c>
      <c r="CI32" s="8">
        <f t="shared" si="19"/>
        <v>0</v>
      </c>
      <c r="CJ32" s="8">
        <f t="shared" si="19"/>
        <v>0</v>
      </c>
      <c r="CK32" s="29">
        <f t="shared" si="19"/>
        <v>0</v>
      </c>
      <c r="CN32" s="8">
        <v>14.5</v>
      </c>
      <c r="CO32" s="16">
        <v>0.05</v>
      </c>
      <c r="CP32" s="16">
        <v>-1.4977147688627021E-2</v>
      </c>
      <c r="CQ32" s="16">
        <v>1.2689626171392077E-2</v>
      </c>
      <c r="CR32" s="16">
        <v>2.0502256333607159E-2</v>
      </c>
      <c r="CS32" s="16">
        <f t="shared" si="14"/>
        <v>6.8214734816372219E-2</v>
      </c>
    </row>
    <row r="33" spans="1:97" x14ac:dyDescent="0.45">
      <c r="A33" s="7"/>
      <c r="B33" s="57"/>
      <c r="C33" s="17"/>
      <c r="D33" s="17">
        <f t="shared" si="0"/>
        <v>0</v>
      </c>
      <c r="E33" s="17">
        <f t="shared" si="9"/>
        <v>0</v>
      </c>
      <c r="F33" s="17">
        <f t="shared" si="1"/>
        <v>0</v>
      </c>
      <c r="G33" s="18">
        <f t="shared" si="10"/>
        <v>0</v>
      </c>
      <c r="H33" s="18">
        <f>IFERROR(IRR((J33,L33:CK33),0),0)</f>
        <v>0</v>
      </c>
      <c r="I33" s="52">
        <f t="shared" si="2"/>
        <v>0</v>
      </c>
      <c r="J33" s="17">
        <f t="shared" si="13"/>
        <v>0</v>
      </c>
      <c r="K33" s="28">
        <f t="shared" si="3"/>
        <v>0</v>
      </c>
      <c r="L33" s="8">
        <f t="shared" si="20"/>
        <v>0</v>
      </c>
      <c r="M33" s="8">
        <f t="shared" si="20"/>
        <v>0</v>
      </c>
      <c r="N33" s="8">
        <f t="shared" si="20"/>
        <v>0</v>
      </c>
      <c r="O33" s="8">
        <f t="shared" si="20"/>
        <v>0</v>
      </c>
      <c r="P33" s="8">
        <f t="shared" si="20"/>
        <v>0</v>
      </c>
      <c r="Q33" s="8">
        <f t="shared" si="20"/>
        <v>0</v>
      </c>
      <c r="R33" s="8">
        <f t="shared" si="20"/>
        <v>0</v>
      </c>
      <c r="S33" s="8">
        <f t="shared" si="20"/>
        <v>0</v>
      </c>
      <c r="T33" s="8">
        <f t="shared" si="20"/>
        <v>0</v>
      </c>
      <c r="U33" s="8">
        <f t="shared" si="20"/>
        <v>0</v>
      </c>
      <c r="V33" s="8">
        <f t="shared" si="20"/>
        <v>0</v>
      </c>
      <c r="W33" s="8">
        <f t="shared" si="20"/>
        <v>0</v>
      </c>
      <c r="X33" s="8">
        <f t="shared" si="20"/>
        <v>0</v>
      </c>
      <c r="Y33" s="8">
        <f t="shared" si="20"/>
        <v>0</v>
      </c>
      <c r="Z33" s="8">
        <f t="shared" si="20"/>
        <v>0</v>
      </c>
      <c r="AA33" s="8">
        <f t="shared" si="20"/>
        <v>0</v>
      </c>
      <c r="AB33" s="8">
        <f t="shared" si="17"/>
        <v>0</v>
      </c>
      <c r="AC33" s="8">
        <f t="shared" si="17"/>
        <v>0</v>
      </c>
      <c r="AD33" s="8">
        <f t="shared" si="17"/>
        <v>0</v>
      </c>
      <c r="AE33" s="8">
        <f t="shared" si="17"/>
        <v>0</v>
      </c>
      <c r="AF33" s="8">
        <f t="shared" si="17"/>
        <v>0</v>
      </c>
      <c r="AG33" s="8">
        <f t="shared" si="17"/>
        <v>0</v>
      </c>
      <c r="AH33" s="8">
        <f t="shared" si="17"/>
        <v>0</v>
      </c>
      <c r="AI33" s="8">
        <f t="shared" si="17"/>
        <v>0</v>
      </c>
      <c r="AJ33" s="8">
        <f t="shared" si="17"/>
        <v>0</v>
      </c>
      <c r="AK33" s="8">
        <f t="shared" si="17"/>
        <v>0</v>
      </c>
      <c r="AL33" s="8">
        <f t="shared" si="17"/>
        <v>0</v>
      </c>
      <c r="AM33" s="8">
        <f t="shared" si="17"/>
        <v>0</v>
      </c>
      <c r="AN33" s="8">
        <f t="shared" si="17"/>
        <v>0</v>
      </c>
      <c r="AO33" s="8">
        <f t="shared" si="17"/>
        <v>0</v>
      </c>
      <c r="AP33" s="8">
        <f t="shared" si="15"/>
        <v>0</v>
      </c>
      <c r="AQ33" s="8">
        <f t="shared" si="15"/>
        <v>0</v>
      </c>
      <c r="AR33" s="8">
        <f t="shared" si="15"/>
        <v>0</v>
      </c>
      <c r="AS33" s="8">
        <f t="shared" si="15"/>
        <v>0</v>
      </c>
      <c r="AT33" s="8">
        <f t="shared" si="15"/>
        <v>0</v>
      </c>
      <c r="AU33" s="8">
        <f t="shared" si="15"/>
        <v>0</v>
      </c>
      <c r="AV33" s="8">
        <f t="shared" si="15"/>
        <v>0</v>
      </c>
      <c r="AW33" s="8">
        <f t="shared" si="15"/>
        <v>0</v>
      </c>
      <c r="AX33" s="8">
        <f t="shared" si="15"/>
        <v>0</v>
      </c>
      <c r="AY33" s="8">
        <f t="shared" si="15"/>
        <v>0</v>
      </c>
      <c r="AZ33" s="8">
        <f t="shared" si="15"/>
        <v>0</v>
      </c>
      <c r="BA33" s="8">
        <f t="shared" si="15"/>
        <v>0</v>
      </c>
      <c r="BB33" s="8">
        <f t="shared" si="15"/>
        <v>0</v>
      </c>
      <c r="BC33" s="8">
        <f t="shared" si="15"/>
        <v>0</v>
      </c>
      <c r="BD33" s="8">
        <f t="shared" si="15"/>
        <v>0</v>
      </c>
      <c r="BE33" s="8">
        <f t="shared" si="15"/>
        <v>0</v>
      </c>
      <c r="BF33" s="8">
        <f t="shared" si="18"/>
        <v>0</v>
      </c>
      <c r="BG33" s="8">
        <f t="shared" si="18"/>
        <v>0</v>
      </c>
      <c r="BH33" s="8">
        <f t="shared" si="18"/>
        <v>0</v>
      </c>
      <c r="BI33" s="8">
        <f t="shared" si="18"/>
        <v>0</v>
      </c>
      <c r="BJ33" s="8">
        <f t="shared" si="18"/>
        <v>0</v>
      </c>
      <c r="BK33" s="8">
        <f t="shared" si="18"/>
        <v>0</v>
      </c>
      <c r="BL33" s="8">
        <f t="shared" si="18"/>
        <v>0</v>
      </c>
      <c r="BM33" s="8">
        <f t="shared" si="18"/>
        <v>0</v>
      </c>
      <c r="BN33" s="8">
        <f t="shared" si="18"/>
        <v>0</v>
      </c>
      <c r="BO33" s="8">
        <f t="shared" si="18"/>
        <v>0</v>
      </c>
      <c r="BP33" s="8">
        <f t="shared" si="18"/>
        <v>0</v>
      </c>
      <c r="BQ33" s="8">
        <f t="shared" si="18"/>
        <v>0</v>
      </c>
      <c r="BR33" s="8">
        <f t="shared" si="18"/>
        <v>0</v>
      </c>
      <c r="BS33" s="8">
        <f t="shared" si="18"/>
        <v>0</v>
      </c>
      <c r="BT33" s="8">
        <f t="shared" si="16"/>
        <v>0</v>
      </c>
      <c r="BU33" s="8">
        <f t="shared" si="16"/>
        <v>0</v>
      </c>
      <c r="BV33" s="8">
        <f t="shared" si="16"/>
        <v>0</v>
      </c>
      <c r="BW33" s="8">
        <f t="shared" si="16"/>
        <v>0</v>
      </c>
      <c r="BX33" s="8">
        <f t="shared" si="16"/>
        <v>0</v>
      </c>
      <c r="BY33" s="8">
        <f t="shared" si="16"/>
        <v>0</v>
      </c>
      <c r="BZ33" s="8">
        <f t="shared" si="16"/>
        <v>0</v>
      </c>
      <c r="CA33" s="8">
        <f t="shared" si="16"/>
        <v>0</v>
      </c>
      <c r="CB33" s="8">
        <f t="shared" si="16"/>
        <v>0</v>
      </c>
      <c r="CC33" s="8">
        <f t="shared" si="16"/>
        <v>0</v>
      </c>
      <c r="CD33" s="8">
        <f t="shared" si="19"/>
        <v>0</v>
      </c>
      <c r="CE33" s="8">
        <f t="shared" si="19"/>
        <v>0</v>
      </c>
      <c r="CF33" s="8">
        <f t="shared" si="19"/>
        <v>0</v>
      </c>
      <c r="CG33" s="8">
        <f t="shared" si="19"/>
        <v>0</v>
      </c>
      <c r="CH33" s="8">
        <f t="shared" si="19"/>
        <v>0</v>
      </c>
      <c r="CI33" s="8">
        <f t="shared" si="19"/>
        <v>0</v>
      </c>
      <c r="CJ33" s="8">
        <f t="shared" si="19"/>
        <v>0</v>
      </c>
      <c r="CK33" s="29">
        <f t="shared" si="19"/>
        <v>0</v>
      </c>
      <c r="CN33" s="8">
        <v>15</v>
      </c>
      <c r="CO33" s="16">
        <v>0.05</v>
      </c>
      <c r="CP33" s="16">
        <v>-1.4796312776889446E-2</v>
      </c>
      <c r="CQ33" s="16">
        <v>1.2900765059834207E-2</v>
      </c>
      <c r="CR33" s="16">
        <v>2.1040139288397194E-2</v>
      </c>
      <c r="CS33" s="16">
        <f t="shared" si="14"/>
        <v>6.9144591571341951E-2</v>
      </c>
    </row>
    <row r="34" spans="1:97" x14ac:dyDescent="0.45">
      <c r="A34" s="7"/>
      <c r="B34" s="57"/>
      <c r="C34" s="17"/>
      <c r="D34" s="17">
        <f t="shared" si="0"/>
        <v>0</v>
      </c>
      <c r="E34" s="17">
        <f t="shared" si="9"/>
        <v>0</v>
      </c>
      <c r="F34" s="17">
        <f t="shared" si="1"/>
        <v>0</v>
      </c>
      <c r="G34" s="18">
        <f t="shared" si="10"/>
        <v>0</v>
      </c>
      <c r="H34" s="18">
        <f>IFERROR(IRR((J34,L34:CK34),0),0)</f>
        <v>0</v>
      </c>
      <c r="I34" s="52">
        <f t="shared" si="2"/>
        <v>0</v>
      </c>
      <c r="J34" s="17">
        <f t="shared" si="13"/>
        <v>0</v>
      </c>
      <c r="K34" s="28">
        <f t="shared" si="3"/>
        <v>0</v>
      </c>
      <c r="L34" s="8">
        <f t="shared" si="20"/>
        <v>0</v>
      </c>
      <c r="M34" s="8">
        <f t="shared" si="20"/>
        <v>0</v>
      </c>
      <c r="N34" s="8">
        <f t="shared" si="20"/>
        <v>0</v>
      </c>
      <c r="O34" s="8">
        <f t="shared" si="20"/>
        <v>0</v>
      </c>
      <c r="P34" s="8">
        <f t="shared" si="20"/>
        <v>0</v>
      </c>
      <c r="Q34" s="8">
        <f t="shared" si="20"/>
        <v>0</v>
      </c>
      <c r="R34" s="8">
        <f t="shared" si="20"/>
        <v>0</v>
      </c>
      <c r="S34" s="8">
        <f t="shared" si="20"/>
        <v>0</v>
      </c>
      <c r="T34" s="8">
        <f t="shared" si="20"/>
        <v>0</v>
      </c>
      <c r="U34" s="8">
        <f t="shared" si="20"/>
        <v>0</v>
      </c>
      <c r="V34" s="8">
        <f t="shared" si="20"/>
        <v>0</v>
      </c>
      <c r="W34" s="8">
        <f t="shared" si="20"/>
        <v>0</v>
      </c>
      <c r="X34" s="8">
        <f t="shared" si="20"/>
        <v>0</v>
      </c>
      <c r="Y34" s="8">
        <f t="shared" si="20"/>
        <v>0</v>
      </c>
      <c r="Z34" s="8">
        <f t="shared" si="20"/>
        <v>0</v>
      </c>
      <c r="AA34" s="8">
        <f t="shared" si="20"/>
        <v>0</v>
      </c>
      <c r="AB34" s="8">
        <f t="shared" si="17"/>
        <v>0</v>
      </c>
      <c r="AC34" s="8">
        <f t="shared" si="17"/>
        <v>0</v>
      </c>
      <c r="AD34" s="8">
        <f t="shared" si="17"/>
        <v>0</v>
      </c>
      <c r="AE34" s="8">
        <f t="shared" si="17"/>
        <v>0</v>
      </c>
      <c r="AF34" s="8">
        <f t="shared" si="17"/>
        <v>0</v>
      </c>
      <c r="AG34" s="8">
        <f t="shared" si="17"/>
        <v>0</v>
      </c>
      <c r="AH34" s="8">
        <f t="shared" si="17"/>
        <v>0</v>
      </c>
      <c r="AI34" s="8">
        <f t="shared" si="17"/>
        <v>0</v>
      </c>
      <c r="AJ34" s="8">
        <f t="shared" si="17"/>
        <v>0</v>
      </c>
      <c r="AK34" s="8">
        <f t="shared" si="17"/>
        <v>0</v>
      </c>
      <c r="AL34" s="8">
        <f t="shared" si="17"/>
        <v>0</v>
      </c>
      <c r="AM34" s="8">
        <f t="shared" si="17"/>
        <v>0</v>
      </c>
      <c r="AN34" s="8">
        <f t="shared" si="17"/>
        <v>0</v>
      </c>
      <c r="AO34" s="8">
        <f t="shared" si="17"/>
        <v>0</v>
      </c>
      <c r="AP34" s="8">
        <f t="shared" si="17"/>
        <v>0</v>
      </c>
      <c r="AQ34" s="8">
        <f t="shared" si="17"/>
        <v>0</v>
      </c>
      <c r="AR34" s="8">
        <f t="shared" ref="AR34:BG49" si="21">$B34*100*(AR$2&lt;$A34)+100*(1+$B34)*(AR$2=$A34)</f>
        <v>0</v>
      </c>
      <c r="AS34" s="8">
        <f t="shared" si="21"/>
        <v>0</v>
      </c>
      <c r="AT34" s="8">
        <f t="shared" si="21"/>
        <v>0</v>
      </c>
      <c r="AU34" s="8">
        <f t="shared" si="21"/>
        <v>0</v>
      </c>
      <c r="AV34" s="8">
        <f t="shared" si="21"/>
        <v>0</v>
      </c>
      <c r="AW34" s="8">
        <f t="shared" si="21"/>
        <v>0</v>
      </c>
      <c r="AX34" s="8">
        <f t="shared" si="21"/>
        <v>0</v>
      </c>
      <c r="AY34" s="8">
        <f t="shared" si="21"/>
        <v>0</v>
      </c>
      <c r="AZ34" s="8">
        <f t="shared" si="21"/>
        <v>0</v>
      </c>
      <c r="BA34" s="8">
        <f t="shared" si="21"/>
        <v>0</v>
      </c>
      <c r="BB34" s="8">
        <f t="shared" si="21"/>
        <v>0</v>
      </c>
      <c r="BC34" s="8">
        <f t="shared" si="21"/>
        <v>0</v>
      </c>
      <c r="BD34" s="8">
        <f t="shared" si="21"/>
        <v>0</v>
      </c>
      <c r="BE34" s="8">
        <f t="shared" si="21"/>
        <v>0</v>
      </c>
      <c r="BF34" s="8">
        <f t="shared" si="21"/>
        <v>0</v>
      </c>
      <c r="BG34" s="8">
        <f t="shared" si="21"/>
        <v>0</v>
      </c>
      <c r="BH34" s="8">
        <f t="shared" si="18"/>
        <v>0</v>
      </c>
      <c r="BI34" s="8">
        <f t="shared" si="18"/>
        <v>0</v>
      </c>
      <c r="BJ34" s="8">
        <f t="shared" si="18"/>
        <v>0</v>
      </c>
      <c r="BK34" s="8">
        <f t="shared" si="18"/>
        <v>0</v>
      </c>
      <c r="BL34" s="8">
        <f t="shared" si="18"/>
        <v>0</v>
      </c>
      <c r="BM34" s="8">
        <f t="shared" si="18"/>
        <v>0</v>
      </c>
      <c r="BN34" s="8">
        <f t="shared" si="18"/>
        <v>0</v>
      </c>
      <c r="BO34" s="8">
        <f t="shared" si="18"/>
        <v>0</v>
      </c>
      <c r="BP34" s="8">
        <f t="shared" si="18"/>
        <v>0</v>
      </c>
      <c r="BQ34" s="8">
        <f t="shared" si="18"/>
        <v>0</v>
      </c>
      <c r="BR34" s="8">
        <f t="shared" si="18"/>
        <v>0</v>
      </c>
      <c r="BS34" s="8">
        <f t="shared" si="18"/>
        <v>0</v>
      </c>
      <c r="BT34" s="8">
        <f t="shared" si="18"/>
        <v>0</v>
      </c>
      <c r="BU34" s="8">
        <f t="shared" si="18"/>
        <v>0</v>
      </c>
      <c r="BV34" s="8">
        <f t="shared" ref="BT34:CI49" si="22">$B34*100*(BV$2&lt;$A34)+100*(1+$B34)*(BV$2=$A34)</f>
        <v>0</v>
      </c>
      <c r="BW34" s="8">
        <f t="shared" si="22"/>
        <v>0</v>
      </c>
      <c r="BX34" s="8">
        <f t="shared" si="22"/>
        <v>0</v>
      </c>
      <c r="BY34" s="8">
        <f t="shared" si="22"/>
        <v>0</v>
      </c>
      <c r="BZ34" s="8">
        <f t="shared" si="22"/>
        <v>0</v>
      </c>
      <c r="CA34" s="8">
        <f t="shared" si="22"/>
        <v>0</v>
      </c>
      <c r="CB34" s="8">
        <f t="shared" si="22"/>
        <v>0</v>
      </c>
      <c r="CC34" s="8">
        <f t="shared" si="22"/>
        <v>0</v>
      </c>
      <c r="CD34" s="8">
        <f t="shared" si="19"/>
        <v>0</v>
      </c>
      <c r="CE34" s="8">
        <f t="shared" si="19"/>
        <v>0</v>
      </c>
      <c r="CF34" s="8">
        <f t="shared" si="19"/>
        <v>0</v>
      </c>
      <c r="CG34" s="8">
        <f t="shared" si="19"/>
        <v>0</v>
      </c>
      <c r="CH34" s="8">
        <f t="shared" si="19"/>
        <v>0</v>
      </c>
      <c r="CI34" s="8">
        <f t="shared" si="19"/>
        <v>0</v>
      </c>
      <c r="CJ34" s="8">
        <f t="shared" si="19"/>
        <v>0</v>
      </c>
      <c r="CK34" s="29">
        <f t="shared" si="19"/>
        <v>0</v>
      </c>
      <c r="CN34" s="8">
        <v>15.5</v>
      </c>
      <c r="CO34" s="16">
        <v>0.05</v>
      </c>
      <c r="CP34" s="16">
        <v>-1.4618592854793904E-2</v>
      </c>
      <c r="CQ34" s="16">
        <v>1.3101477178756231E-2</v>
      </c>
      <c r="CR34" s="16">
        <v>2.1568335195210092E-2</v>
      </c>
      <c r="CS34" s="16">
        <f t="shared" si="14"/>
        <v>7.0051219519172425E-2</v>
      </c>
    </row>
    <row r="35" spans="1:97" x14ac:dyDescent="0.45">
      <c r="A35" s="7"/>
      <c r="B35" s="57"/>
      <c r="C35" s="17"/>
      <c r="D35" s="17">
        <f t="shared" si="0"/>
        <v>0</v>
      </c>
      <c r="E35" s="17">
        <f t="shared" si="9"/>
        <v>0</v>
      </c>
      <c r="F35" s="17">
        <f t="shared" si="1"/>
        <v>0</v>
      </c>
      <c r="G35" s="18">
        <f t="shared" ref="G35:G42" si="23">+IFERROR(IRR(K35:CK35,0),0)</f>
        <v>0</v>
      </c>
      <c r="H35" s="18">
        <f>IFERROR(IRR((J35,L35:CK35),0),0)</f>
        <v>0</v>
      </c>
      <c r="I35" s="52">
        <f t="shared" ref="I35:I42" si="24">IFERROR(H35-G35,0)</f>
        <v>0</v>
      </c>
      <c r="J35" s="17">
        <f t="shared" si="13"/>
        <v>0</v>
      </c>
      <c r="K35" s="28">
        <f t="shared" si="3"/>
        <v>0</v>
      </c>
      <c r="L35" s="8">
        <f t="shared" si="20"/>
        <v>0</v>
      </c>
      <c r="M35" s="8">
        <f t="shared" si="20"/>
        <v>0</v>
      </c>
      <c r="N35" s="8">
        <f t="shared" si="20"/>
        <v>0</v>
      </c>
      <c r="O35" s="8">
        <f t="shared" si="20"/>
        <v>0</v>
      </c>
      <c r="P35" s="8">
        <f t="shared" si="20"/>
        <v>0</v>
      </c>
      <c r="Q35" s="8">
        <f t="shared" si="20"/>
        <v>0</v>
      </c>
      <c r="R35" s="8">
        <f t="shared" si="20"/>
        <v>0</v>
      </c>
      <c r="S35" s="8">
        <f t="shared" si="20"/>
        <v>0</v>
      </c>
      <c r="T35" s="8">
        <f t="shared" si="20"/>
        <v>0</v>
      </c>
      <c r="U35" s="8">
        <f t="shared" si="20"/>
        <v>0</v>
      </c>
      <c r="V35" s="8">
        <f t="shared" si="20"/>
        <v>0</v>
      </c>
      <c r="W35" s="8">
        <f t="shared" si="20"/>
        <v>0</v>
      </c>
      <c r="X35" s="8">
        <f t="shared" si="20"/>
        <v>0</v>
      </c>
      <c r="Y35" s="8">
        <f t="shared" si="20"/>
        <v>0</v>
      </c>
      <c r="Z35" s="8">
        <f t="shared" si="20"/>
        <v>0</v>
      </c>
      <c r="AA35" s="8">
        <f t="shared" ref="AA35:AP50" si="25">$B35*100*(AA$2&lt;$A35)+100*(1+$B35)*(AA$2=$A35)</f>
        <v>0</v>
      </c>
      <c r="AB35" s="8">
        <f t="shared" si="25"/>
        <v>0</v>
      </c>
      <c r="AC35" s="8">
        <f t="shared" si="25"/>
        <v>0</v>
      </c>
      <c r="AD35" s="8">
        <f t="shared" si="25"/>
        <v>0</v>
      </c>
      <c r="AE35" s="8">
        <f t="shared" si="25"/>
        <v>0</v>
      </c>
      <c r="AF35" s="8">
        <f t="shared" si="25"/>
        <v>0</v>
      </c>
      <c r="AG35" s="8">
        <f t="shared" si="25"/>
        <v>0</v>
      </c>
      <c r="AH35" s="8">
        <f t="shared" si="25"/>
        <v>0</v>
      </c>
      <c r="AI35" s="8">
        <f t="shared" si="25"/>
        <v>0</v>
      </c>
      <c r="AJ35" s="8">
        <f t="shared" si="25"/>
        <v>0</v>
      </c>
      <c r="AK35" s="8">
        <f t="shared" si="25"/>
        <v>0</v>
      </c>
      <c r="AL35" s="8">
        <f t="shared" si="25"/>
        <v>0</v>
      </c>
      <c r="AM35" s="8">
        <f t="shared" si="25"/>
        <v>0</v>
      </c>
      <c r="AN35" s="8">
        <f t="shared" si="25"/>
        <v>0</v>
      </c>
      <c r="AO35" s="8">
        <f t="shared" si="25"/>
        <v>0</v>
      </c>
      <c r="AP35" s="8">
        <f t="shared" si="25"/>
        <v>0</v>
      </c>
      <c r="AQ35" s="8">
        <f t="shared" ref="AP35:BE50" si="26">$B35*100*(AQ$2&lt;$A35)+100*(1+$B35)*(AQ$2=$A35)</f>
        <v>0</v>
      </c>
      <c r="AR35" s="8">
        <f t="shared" si="26"/>
        <v>0</v>
      </c>
      <c r="AS35" s="8">
        <f t="shared" si="26"/>
        <v>0</v>
      </c>
      <c r="AT35" s="8">
        <f t="shared" si="26"/>
        <v>0</v>
      </c>
      <c r="AU35" s="8">
        <f t="shared" si="26"/>
        <v>0</v>
      </c>
      <c r="AV35" s="8">
        <f t="shared" si="26"/>
        <v>0</v>
      </c>
      <c r="AW35" s="8">
        <f t="shared" si="26"/>
        <v>0</v>
      </c>
      <c r="AX35" s="8">
        <f t="shared" si="26"/>
        <v>0</v>
      </c>
      <c r="AY35" s="8">
        <f t="shared" si="26"/>
        <v>0</v>
      </c>
      <c r="AZ35" s="8">
        <f t="shared" si="21"/>
        <v>0</v>
      </c>
      <c r="BA35" s="8">
        <f t="shared" si="21"/>
        <v>0</v>
      </c>
      <c r="BB35" s="8">
        <f t="shared" si="21"/>
        <v>0</v>
      </c>
      <c r="BC35" s="8">
        <f t="shared" si="21"/>
        <v>0</v>
      </c>
      <c r="BD35" s="8">
        <f t="shared" si="21"/>
        <v>0</v>
      </c>
      <c r="BE35" s="8">
        <f t="shared" si="21"/>
        <v>0</v>
      </c>
      <c r="BF35" s="8">
        <f t="shared" si="21"/>
        <v>0</v>
      </c>
      <c r="BG35" s="8">
        <f t="shared" si="21"/>
        <v>0</v>
      </c>
      <c r="BH35" s="8">
        <f t="shared" ref="BH35:BW50" si="27">$B35*100*(BH$2&lt;$A35)+100*(1+$B35)*(BH$2=$A35)</f>
        <v>0</v>
      </c>
      <c r="BI35" s="8">
        <f t="shared" si="27"/>
        <v>0</v>
      </c>
      <c r="BJ35" s="8">
        <f t="shared" si="27"/>
        <v>0</v>
      </c>
      <c r="BK35" s="8">
        <f t="shared" si="27"/>
        <v>0</v>
      </c>
      <c r="BL35" s="8">
        <f t="shared" si="27"/>
        <v>0</v>
      </c>
      <c r="BM35" s="8">
        <f t="shared" si="27"/>
        <v>0</v>
      </c>
      <c r="BN35" s="8">
        <f t="shared" si="27"/>
        <v>0</v>
      </c>
      <c r="BO35" s="8">
        <f t="shared" si="27"/>
        <v>0</v>
      </c>
      <c r="BP35" s="8">
        <f t="shared" si="27"/>
        <v>0</v>
      </c>
      <c r="BQ35" s="8">
        <f t="shared" si="27"/>
        <v>0</v>
      </c>
      <c r="BR35" s="8">
        <f t="shared" si="27"/>
        <v>0</v>
      </c>
      <c r="BS35" s="8">
        <f t="shared" si="27"/>
        <v>0</v>
      </c>
      <c r="BT35" s="8">
        <f t="shared" si="22"/>
        <v>0</v>
      </c>
      <c r="BU35" s="8">
        <f t="shared" si="22"/>
        <v>0</v>
      </c>
      <c r="BV35" s="8">
        <f t="shared" si="22"/>
        <v>0</v>
      </c>
      <c r="BW35" s="8">
        <f t="shared" si="22"/>
        <v>0</v>
      </c>
      <c r="BX35" s="8">
        <f t="shared" si="22"/>
        <v>0</v>
      </c>
      <c r="BY35" s="8">
        <f t="shared" si="22"/>
        <v>0</v>
      </c>
      <c r="BZ35" s="8">
        <f t="shared" si="22"/>
        <v>0</v>
      </c>
      <c r="CA35" s="8">
        <f t="shared" si="22"/>
        <v>0</v>
      </c>
      <c r="CB35" s="8">
        <f t="shared" si="22"/>
        <v>0</v>
      </c>
      <c r="CC35" s="8">
        <f t="shared" si="22"/>
        <v>0</v>
      </c>
      <c r="CD35" s="8">
        <f t="shared" si="22"/>
        <v>0</v>
      </c>
      <c r="CE35" s="8">
        <f t="shared" si="22"/>
        <v>0</v>
      </c>
      <c r="CF35" s="8">
        <f t="shared" si="22"/>
        <v>0</v>
      </c>
      <c r="CG35" s="8">
        <f t="shared" si="22"/>
        <v>0</v>
      </c>
      <c r="CH35" s="8">
        <f t="shared" si="22"/>
        <v>0</v>
      </c>
      <c r="CI35" s="8">
        <f t="shared" si="22"/>
        <v>0</v>
      </c>
      <c r="CJ35" s="8">
        <f t="shared" ref="CD35:CK50" si="28">$B35*100*(CJ$2&lt;$A35)+100*(1+$B35)*(CJ$2=$A35)</f>
        <v>0</v>
      </c>
      <c r="CK35" s="29">
        <f t="shared" si="28"/>
        <v>0</v>
      </c>
      <c r="CN35" s="8">
        <v>16</v>
      </c>
      <c r="CO35" s="16">
        <v>0.05</v>
      </c>
      <c r="CP35" s="16">
        <v>-1.4443925817729644E-2</v>
      </c>
      <c r="CQ35" s="16">
        <v>1.3292110313429495E-2</v>
      </c>
      <c r="CR35" s="16">
        <v>2.2086981570551875E-2</v>
      </c>
      <c r="CS35" s="16">
        <f t="shared" si="14"/>
        <v>7.093516606625172E-2</v>
      </c>
    </row>
    <row r="36" spans="1:97" x14ac:dyDescent="0.45">
      <c r="A36" s="7"/>
      <c r="B36" s="57"/>
      <c r="C36" s="17"/>
      <c r="D36" s="17">
        <f t="shared" si="0"/>
        <v>0</v>
      </c>
      <c r="E36" s="17">
        <f t="shared" si="9"/>
        <v>0</v>
      </c>
      <c r="F36" s="17">
        <f t="shared" si="1"/>
        <v>0</v>
      </c>
      <c r="G36" s="18">
        <f t="shared" si="23"/>
        <v>0</v>
      </c>
      <c r="H36" s="18">
        <f>IFERROR(IRR((J36,L36:CK36),0),0)</f>
        <v>0</v>
      </c>
      <c r="I36" s="52">
        <f t="shared" si="24"/>
        <v>0</v>
      </c>
      <c r="J36" s="17">
        <f t="shared" si="13"/>
        <v>0</v>
      </c>
      <c r="K36" s="28">
        <f t="shared" si="3"/>
        <v>0</v>
      </c>
      <c r="L36" s="8">
        <f t="shared" ref="L36:AA51" si="29">$B36*100*(L$2&lt;$A36)+100*(1+$B36)*(L$2=$A36)</f>
        <v>0</v>
      </c>
      <c r="M36" s="8">
        <f t="shared" si="29"/>
        <v>0</v>
      </c>
      <c r="N36" s="8">
        <f t="shared" si="29"/>
        <v>0</v>
      </c>
      <c r="O36" s="8">
        <f t="shared" si="29"/>
        <v>0</v>
      </c>
      <c r="P36" s="8">
        <f t="shared" si="29"/>
        <v>0</v>
      </c>
      <c r="Q36" s="8">
        <f t="shared" si="29"/>
        <v>0</v>
      </c>
      <c r="R36" s="8">
        <f t="shared" si="29"/>
        <v>0</v>
      </c>
      <c r="S36" s="8">
        <f t="shared" si="29"/>
        <v>0</v>
      </c>
      <c r="T36" s="8">
        <f t="shared" si="29"/>
        <v>0</v>
      </c>
      <c r="U36" s="8">
        <f t="shared" si="29"/>
        <v>0</v>
      </c>
      <c r="V36" s="8">
        <f t="shared" si="29"/>
        <v>0</v>
      </c>
      <c r="W36" s="8">
        <f t="shared" si="29"/>
        <v>0</v>
      </c>
      <c r="X36" s="8">
        <f t="shared" si="29"/>
        <v>0</v>
      </c>
      <c r="Y36" s="8">
        <f t="shared" si="29"/>
        <v>0</v>
      </c>
      <c r="Z36" s="8">
        <f t="shared" si="29"/>
        <v>0</v>
      </c>
      <c r="AA36" s="8">
        <f t="shared" si="29"/>
        <v>0</v>
      </c>
      <c r="AB36" s="8">
        <f t="shared" si="25"/>
        <v>0</v>
      </c>
      <c r="AC36" s="8">
        <f t="shared" si="25"/>
        <v>0</v>
      </c>
      <c r="AD36" s="8">
        <f t="shared" si="25"/>
        <v>0</v>
      </c>
      <c r="AE36" s="8">
        <f t="shared" si="25"/>
        <v>0</v>
      </c>
      <c r="AF36" s="8">
        <f t="shared" si="25"/>
        <v>0</v>
      </c>
      <c r="AG36" s="8">
        <f t="shared" si="25"/>
        <v>0</v>
      </c>
      <c r="AH36" s="8">
        <f t="shared" si="25"/>
        <v>0</v>
      </c>
      <c r="AI36" s="8">
        <f t="shared" si="25"/>
        <v>0</v>
      </c>
      <c r="AJ36" s="8">
        <f t="shared" si="25"/>
        <v>0</v>
      </c>
      <c r="AK36" s="8">
        <f t="shared" si="25"/>
        <v>0</v>
      </c>
      <c r="AL36" s="8">
        <f t="shared" si="25"/>
        <v>0</v>
      </c>
      <c r="AM36" s="8">
        <f t="shared" si="25"/>
        <v>0</v>
      </c>
      <c r="AN36" s="8">
        <f t="shared" si="25"/>
        <v>0</v>
      </c>
      <c r="AO36" s="8">
        <f t="shared" si="25"/>
        <v>0</v>
      </c>
      <c r="AP36" s="8">
        <f t="shared" si="26"/>
        <v>0</v>
      </c>
      <c r="AQ36" s="8">
        <f t="shared" si="26"/>
        <v>0</v>
      </c>
      <c r="AR36" s="8">
        <f t="shared" si="26"/>
        <v>0</v>
      </c>
      <c r="AS36" s="8">
        <f t="shared" si="26"/>
        <v>0</v>
      </c>
      <c r="AT36" s="8">
        <f t="shared" si="26"/>
        <v>0</v>
      </c>
      <c r="AU36" s="8">
        <f t="shared" si="26"/>
        <v>0</v>
      </c>
      <c r="AV36" s="8">
        <f t="shared" si="26"/>
        <v>0</v>
      </c>
      <c r="AW36" s="8">
        <f t="shared" si="26"/>
        <v>0</v>
      </c>
      <c r="AX36" s="8">
        <f t="shared" si="26"/>
        <v>0</v>
      </c>
      <c r="AY36" s="8">
        <f t="shared" si="26"/>
        <v>0</v>
      </c>
      <c r="AZ36" s="8">
        <f t="shared" si="21"/>
        <v>0</v>
      </c>
      <c r="BA36" s="8">
        <f t="shared" si="21"/>
        <v>0</v>
      </c>
      <c r="BB36" s="8">
        <f t="shared" si="21"/>
        <v>0</v>
      </c>
      <c r="BC36" s="8">
        <f t="shared" si="21"/>
        <v>0</v>
      </c>
      <c r="BD36" s="8">
        <f t="shared" si="21"/>
        <v>0</v>
      </c>
      <c r="BE36" s="8">
        <f t="shared" si="21"/>
        <v>0</v>
      </c>
      <c r="BF36" s="8">
        <f t="shared" si="21"/>
        <v>0</v>
      </c>
      <c r="BG36" s="8">
        <f t="shared" si="21"/>
        <v>0</v>
      </c>
      <c r="BH36" s="8">
        <f t="shared" si="27"/>
        <v>0</v>
      </c>
      <c r="BI36" s="8">
        <f t="shared" si="27"/>
        <v>0</v>
      </c>
      <c r="BJ36" s="8">
        <f t="shared" si="27"/>
        <v>0</v>
      </c>
      <c r="BK36" s="8">
        <f t="shared" si="27"/>
        <v>0</v>
      </c>
      <c r="BL36" s="8">
        <f t="shared" si="27"/>
        <v>0</v>
      </c>
      <c r="BM36" s="8">
        <f t="shared" si="27"/>
        <v>0</v>
      </c>
      <c r="BN36" s="8">
        <f t="shared" si="27"/>
        <v>0</v>
      </c>
      <c r="BO36" s="8">
        <f t="shared" si="27"/>
        <v>0</v>
      </c>
      <c r="BP36" s="8">
        <f t="shared" si="27"/>
        <v>0</v>
      </c>
      <c r="BQ36" s="8">
        <f t="shared" si="27"/>
        <v>0</v>
      </c>
      <c r="BR36" s="8">
        <f t="shared" si="27"/>
        <v>0</v>
      </c>
      <c r="BS36" s="8">
        <f t="shared" si="27"/>
        <v>0</v>
      </c>
      <c r="BT36" s="8">
        <f t="shared" si="22"/>
        <v>0</v>
      </c>
      <c r="BU36" s="8">
        <f t="shared" si="22"/>
        <v>0</v>
      </c>
      <c r="BV36" s="8">
        <f t="shared" si="22"/>
        <v>0</v>
      </c>
      <c r="BW36" s="8">
        <f t="shared" si="22"/>
        <v>0</v>
      </c>
      <c r="BX36" s="8">
        <f t="shared" si="22"/>
        <v>0</v>
      </c>
      <c r="BY36" s="8">
        <f t="shared" si="22"/>
        <v>0</v>
      </c>
      <c r="BZ36" s="8">
        <f t="shared" si="22"/>
        <v>0</v>
      </c>
      <c r="CA36" s="8">
        <f t="shared" si="22"/>
        <v>0</v>
      </c>
      <c r="CB36" s="8">
        <f t="shared" si="22"/>
        <v>0</v>
      </c>
      <c r="CC36" s="8">
        <f t="shared" si="22"/>
        <v>0</v>
      </c>
      <c r="CD36" s="8">
        <f t="shared" si="28"/>
        <v>0</v>
      </c>
      <c r="CE36" s="8">
        <f t="shared" si="28"/>
        <v>0</v>
      </c>
      <c r="CF36" s="8">
        <f t="shared" si="28"/>
        <v>0</v>
      </c>
      <c r="CG36" s="8">
        <f t="shared" si="28"/>
        <v>0</v>
      </c>
      <c r="CH36" s="8">
        <f t="shared" si="28"/>
        <v>0</v>
      </c>
      <c r="CI36" s="8">
        <f t="shared" si="28"/>
        <v>0</v>
      </c>
      <c r="CJ36" s="8">
        <f t="shared" si="28"/>
        <v>0</v>
      </c>
      <c r="CK36" s="29">
        <f t="shared" si="28"/>
        <v>0</v>
      </c>
      <c r="CN36" s="8">
        <v>16.5</v>
      </c>
      <c r="CO36" s="16">
        <v>0.05</v>
      </c>
      <c r="CP36" s="16">
        <v>-1.4272250901024793E-2</v>
      </c>
      <c r="CQ36" s="16">
        <v>1.3473001676443667E-2</v>
      </c>
      <c r="CR36" s="16">
        <v>2.2596214105792215E-2</v>
      </c>
      <c r="CS36" s="16">
        <f t="shared" si="14"/>
        <v>7.1796964881211081E-2</v>
      </c>
    </row>
    <row r="37" spans="1:97" x14ac:dyDescent="0.45">
      <c r="A37" s="7"/>
      <c r="B37" s="57"/>
      <c r="C37" s="17"/>
      <c r="D37" s="17">
        <f t="shared" si="0"/>
        <v>0</v>
      </c>
      <c r="E37" s="17">
        <f t="shared" si="9"/>
        <v>0</v>
      </c>
      <c r="F37" s="17">
        <f t="shared" si="1"/>
        <v>0</v>
      </c>
      <c r="G37" s="18">
        <f t="shared" si="23"/>
        <v>0</v>
      </c>
      <c r="H37" s="18">
        <f>IFERROR(IRR((J37,L37:CK37),0),0)</f>
        <v>0</v>
      </c>
      <c r="I37" s="52">
        <f t="shared" si="24"/>
        <v>0</v>
      </c>
      <c r="J37" s="17">
        <f t="shared" si="13"/>
        <v>0</v>
      </c>
      <c r="K37" s="28">
        <f t="shared" si="3"/>
        <v>0</v>
      </c>
      <c r="L37" s="8">
        <f t="shared" si="29"/>
        <v>0</v>
      </c>
      <c r="M37" s="8">
        <f t="shared" si="29"/>
        <v>0</v>
      </c>
      <c r="N37" s="8">
        <f t="shared" si="29"/>
        <v>0</v>
      </c>
      <c r="O37" s="8">
        <f t="shared" si="29"/>
        <v>0</v>
      </c>
      <c r="P37" s="8">
        <f t="shared" si="29"/>
        <v>0</v>
      </c>
      <c r="Q37" s="8">
        <f t="shared" si="29"/>
        <v>0</v>
      </c>
      <c r="R37" s="8">
        <f t="shared" si="29"/>
        <v>0</v>
      </c>
      <c r="S37" s="8">
        <f t="shared" si="29"/>
        <v>0</v>
      </c>
      <c r="T37" s="8">
        <f t="shared" si="29"/>
        <v>0</v>
      </c>
      <c r="U37" s="8">
        <f t="shared" si="29"/>
        <v>0</v>
      </c>
      <c r="V37" s="8">
        <f t="shared" si="29"/>
        <v>0</v>
      </c>
      <c r="W37" s="8">
        <f t="shared" si="29"/>
        <v>0</v>
      </c>
      <c r="X37" s="8">
        <f t="shared" si="29"/>
        <v>0</v>
      </c>
      <c r="Y37" s="8">
        <f t="shared" si="29"/>
        <v>0</v>
      </c>
      <c r="Z37" s="8">
        <f t="shared" si="29"/>
        <v>0</v>
      </c>
      <c r="AA37" s="8">
        <f t="shared" si="29"/>
        <v>0</v>
      </c>
      <c r="AB37" s="8">
        <f t="shared" si="25"/>
        <v>0</v>
      </c>
      <c r="AC37" s="8">
        <f t="shared" si="25"/>
        <v>0</v>
      </c>
      <c r="AD37" s="8">
        <f t="shared" si="25"/>
        <v>0</v>
      </c>
      <c r="AE37" s="8">
        <f t="shared" si="25"/>
        <v>0</v>
      </c>
      <c r="AF37" s="8">
        <f t="shared" si="25"/>
        <v>0</v>
      </c>
      <c r="AG37" s="8">
        <f t="shared" si="25"/>
        <v>0</v>
      </c>
      <c r="AH37" s="8">
        <f t="shared" si="25"/>
        <v>0</v>
      </c>
      <c r="AI37" s="8">
        <f t="shared" si="25"/>
        <v>0</v>
      </c>
      <c r="AJ37" s="8">
        <f t="shared" si="25"/>
        <v>0</v>
      </c>
      <c r="AK37" s="8">
        <f t="shared" si="25"/>
        <v>0</v>
      </c>
      <c r="AL37" s="8">
        <f t="shared" si="25"/>
        <v>0</v>
      </c>
      <c r="AM37" s="8">
        <f t="shared" si="25"/>
        <v>0</v>
      </c>
      <c r="AN37" s="8">
        <f t="shared" si="25"/>
        <v>0</v>
      </c>
      <c r="AO37" s="8">
        <f t="shared" si="25"/>
        <v>0</v>
      </c>
      <c r="AP37" s="8">
        <f t="shared" si="26"/>
        <v>0</v>
      </c>
      <c r="AQ37" s="8">
        <f t="shared" si="26"/>
        <v>0</v>
      </c>
      <c r="AR37" s="8">
        <f t="shared" si="26"/>
        <v>0</v>
      </c>
      <c r="AS37" s="8">
        <f t="shared" si="26"/>
        <v>0</v>
      </c>
      <c r="AT37" s="8">
        <f t="shared" si="26"/>
        <v>0</v>
      </c>
      <c r="AU37" s="8">
        <f t="shared" si="26"/>
        <v>0</v>
      </c>
      <c r="AV37" s="8">
        <f t="shared" si="26"/>
        <v>0</v>
      </c>
      <c r="AW37" s="8">
        <f t="shared" si="26"/>
        <v>0</v>
      </c>
      <c r="AX37" s="8">
        <f t="shared" si="26"/>
        <v>0</v>
      </c>
      <c r="AY37" s="8">
        <f t="shared" si="26"/>
        <v>0</v>
      </c>
      <c r="AZ37" s="8">
        <f t="shared" si="21"/>
        <v>0</v>
      </c>
      <c r="BA37" s="8">
        <f t="shared" si="21"/>
        <v>0</v>
      </c>
      <c r="BB37" s="8">
        <f t="shared" si="21"/>
        <v>0</v>
      </c>
      <c r="BC37" s="8">
        <f t="shared" si="21"/>
        <v>0</v>
      </c>
      <c r="BD37" s="8">
        <f t="shared" si="21"/>
        <v>0</v>
      </c>
      <c r="BE37" s="8">
        <f t="shared" si="21"/>
        <v>0</v>
      </c>
      <c r="BF37" s="8">
        <f t="shared" si="21"/>
        <v>0</v>
      </c>
      <c r="BG37" s="8">
        <f t="shared" si="21"/>
        <v>0</v>
      </c>
      <c r="BH37" s="8">
        <f t="shared" si="27"/>
        <v>0</v>
      </c>
      <c r="BI37" s="8">
        <f t="shared" si="27"/>
        <v>0</v>
      </c>
      <c r="BJ37" s="8">
        <f t="shared" si="27"/>
        <v>0</v>
      </c>
      <c r="BK37" s="8">
        <f t="shared" si="27"/>
        <v>0</v>
      </c>
      <c r="BL37" s="8">
        <f t="shared" si="27"/>
        <v>0</v>
      </c>
      <c r="BM37" s="8">
        <f t="shared" si="27"/>
        <v>0</v>
      </c>
      <c r="BN37" s="8">
        <f t="shared" si="27"/>
        <v>0</v>
      </c>
      <c r="BO37" s="8">
        <f t="shared" si="27"/>
        <v>0</v>
      </c>
      <c r="BP37" s="8">
        <f t="shared" si="27"/>
        <v>0</v>
      </c>
      <c r="BQ37" s="8">
        <f t="shared" si="27"/>
        <v>0</v>
      </c>
      <c r="BR37" s="8">
        <f t="shared" si="27"/>
        <v>0</v>
      </c>
      <c r="BS37" s="8">
        <f t="shared" si="27"/>
        <v>0</v>
      </c>
      <c r="BT37" s="8">
        <f t="shared" si="22"/>
        <v>0</v>
      </c>
      <c r="BU37" s="8">
        <f t="shared" si="22"/>
        <v>0</v>
      </c>
      <c r="BV37" s="8">
        <f t="shared" si="22"/>
        <v>0</v>
      </c>
      <c r="BW37" s="8">
        <f t="shared" si="22"/>
        <v>0</v>
      </c>
      <c r="BX37" s="8">
        <f t="shared" si="22"/>
        <v>0</v>
      </c>
      <c r="BY37" s="8">
        <f t="shared" si="22"/>
        <v>0</v>
      </c>
      <c r="BZ37" s="8">
        <f t="shared" si="22"/>
        <v>0</v>
      </c>
      <c r="CA37" s="8">
        <f t="shared" si="22"/>
        <v>0</v>
      </c>
      <c r="CB37" s="8">
        <f t="shared" si="22"/>
        <v>0</v>
      </c>
      <c r="CC37" s="8">
        <f t="shared" si="22"/>
        <v>0</v>
      </c>
      <c r="CD37" s="8">
        <f t="shared" si="28"/>
        <v>0</v>
      </c>
      <c r="CE37" s="8">
        <f t="shared" si="28"/>
        <v>0</v>
      </c>
      <c r="CF37" s="8">
        <f t="shared" si="28"/>
        <v>0</v>
      </c>
      <c r="CG37" s="8">
        <f t="shared" si="28"/>
        <v>0</v>
      </c>
      <c r="CH37" s="8">
        <f t="shared" si="28"/>
        <v>0</v>
      </c>
      <c r="CI37" s="8">
        <f t="shared" si="28"/>
        <v>0</v>
      </c>
      <c r="CJ37" s="8">
        <f t="shared" si="28"/>
        <v>0</v>
      </c>
      <c r="CK37" s="29">
        <f t="shared" si="28"/>
        <v>0</v>
      </c>
      <c r="CN37" s="8">
        <v>17</v>
      </c>
      <c r="CO37" s="16">
        <v>0.05</v>
      </c>
      <c r="CP37" s="16">
        <v>-1.4103508649581759E-2</v>
      </c>
      <c r="CQ37" s="16">
        <v>1.3644478217504951E-2</v>
      </c>
      <c r="CR37" s="16">
        <v>2.3096166690704658E-2</v>
      </c>
      <c r="CS37" s="16">
        <f t="shared" si="14"/>
        <v>7.263713625862786E-2</v>
      </c>
    </row>
    <row r="38" spans="1:97" x14ac:dyDescent="0.45">
      <c r="A38" s="7"/>
      <c r="B38" s="57"/>
      <c r="C38" s="17"/>
      <c r="D38" s="17">
        <f t="shared" si="0"/>
        <v>0</v>
      </c>
      <c r="E38" s="17">
        <f t="shared" si="9"/>
        <v>0</v>
      </c>
      <c r="F38" s="17">
        <f t="shared" si="1"/>
        <v>0</v>
      </c>
      <c r="G38" s="18">
        <f t="shared" si="23"/>
        <v>0</v>
      </c>
      <c r="H38" s="18">
        <f>IFERROR(IRR((J38,L38:CK38),0),0)</f>
        <v>0</v>
      </c>
      <c r="I38" s="52">
        <f t="shared" si="24"/>
        <v>0</v>
      </c>
      <c r="J38" s="17">
        <f t="shared" si="13"/>
        <v>0</v>
      </c>
      <c r="K38" s="28">
        <f t="shared" si="3"/>
        <v>0</v>
      </c>
      <c r="L38" s="8">
        <f t="shared" si="29"/>
        <v>0</v>
      </c>
      <c r="M38" s="8">
        <f t="shared" si="29"/>
        <v>0</v>
      </c>
      <c r="N38" s="8">
        <f t="shared" si="29"/>
        <v>0</v>
      </c>
      <c r="O38" s="8">
        <f t="shared" si="29"/>
        <v>0</v>
      </c>
      <c r="P38" s="8">
        <f t="shared" si="29"/>
        <v>0</v>
      </c>
      <c r="Q38" s="8">
        <f t="shared" si="29"/>
        <v>0</v>
      </c>
      <c r="R38" s="8">
        <f t="shared" si="29"/>
        <v>0</v>
      </c>
      <c r="S38" s="8">
        <f t="shared" si="29"/>
        <v>0</v>
      </c>
      <c r="T38" s="8">
        <f t="shared" si="29"/>
        <v>0</v>
      </c>
      <c r="U38" s="8">
        <f t="shared" si="29"/>
        <v>0</v>
      </c>
      <c r="V38" s="8">
        <f t="shared" si="29"/>
        <v>0</v>
      </c>
      <c r="W38" s="8">
        <f t="shared" si="29"/>
        <v>0</v>
      </c>
      <c r="X38" s="8">
        <f t="shared" si="29"/>
        <v>0</v>
      </c>
      <c r="Y38" s="8">
        <f t="shared" si="29"/>
        <v>0</v>
      </c>
      <c r="Z38" s="8">
        <f t="shared" si="29"/>
        <v>0</v>
      </c>
      <c r="AA38" s="8">
        <f t="shared" si="29"/>
        <v>0</v>
      </c>
      <c r="AB38" s="8">
        <f t="shared" si="25"/>
        <v>0</v>
      </c>
      <c r="AC38" s="8">
        <f t="shared" si="25"/>
        <v>0</v>
      </c>
      <c r="AD38" s="8">
        <f t="shared" si="25"/>
        <v>0</v>
      </c>
      <c r="AE38" s="8">
        <f t="shared" si="25"/>
        <v>0</v>
      </c>
      <c r="AF38" s="8">
        <f t="shared" si="25"/>
        <v>0</v>
      </c>
      <c r="AG38" s="8">
        <f t="shared" si="25"/>
        <v>0</v>
      </c>
      <c r="AH38" s="8">
        <f t="shared" si="25"/>
        <v>0</v>
      </c>
      <c r="AI38" s="8">
        <f t="shared" si="25"/>
        <v>0</v>
      </c>
      <c r="AJ38" s="8">
        <f t="shared" si="25"/>
        <v>0</v>
      </c>
      <c r="AK38" s="8">
        <f t="shared" si="25"/>
        <v>0</v>
      </c>
      <c r="AL38" s="8">
        <f t="shared" si="25"/>
        <v>0</v>
      </c>
      <c r="AM38" s="8">
        <f t="shared" si="25"/>
        <v>0</v>
      </c>
      <c r="AN38" s="8">
        <f t="shared" si="25"/>
        <v>0</v>
      </c>
      <c r="AO38" s="8">
        <f t="shared" si="25"/>
        <v>0</v>
      </c>
      <c r="AP38" s="8">
        <f t="shared" si="26"/>
        <v>0</v>
      </c>
      <c r="AQ38" s="8">
        <f t="shared" si="26"/>
        <v>0</v>
      </c>
      <c r="AR38" s="8">
        <f t="shared" si="26"/>
        <v>0</v>
      </c>
      <c r="AS38" s="8">
        <f t="shared" si="26"/>
        <v>0</v>
      </c>
      <c r="AT38" s="8">
        <f t="shared" si="26"/>
        <v>0</v>
      </c>
      <c r="AU38" s="8">
        <f t="shared" si="26"/>
        <v>0</v>
      </c>
      <c r="AV38" s="8">
        <f t="shared" si="26"/>
        <v>0</v>
      </c>
      <c r="AW38" s="8">
        <f t="shared" si="26"/>
        <v>0</v>
      </c>
      <c r="AX38" s="8">
        <f t="shared" si="26"/>
        <v>0</v>
      </c>
      <c r="AY38" s="8">
        <f t="shared" si="26"/>
        <v>0</v>
      </c>
      <c r="AZ38" s="8">
        <f t="shared" si="21"/>
        <v>0</v>
      </c>
      <c r="BA38" s="8">
        <f t="shared" si="21"/>
        <v>0</v>
      </c>
      <c r="BB38" s="8">
        <f t="shared" si="21"/>
        <v>0</v>
      </c>
      <c r="BC38" s="8">
        <f t="shared" si="21"/>
        <v>0</v>
      </c>
      <c r="BD38" s="8">
        <f t="shared" si="21"/>
        <v>0</v>
      </c>
      <c r="BE38" s="8">
        <f t="shared" si="21"/>
        <v>0</v>
      </c>
      <c r="BF38" s="8">
        <f t="shared" si="21"/>
        <v>0</v>
      </c>
      <c r="BG38" s="8">
        <f t="shared" si="21"/>
        <v>0</v>
      </c>
      <c r="BH38" s="8">
        <f t="shared" si="27"/>
        <v>0</v>
      </c>
      <c r="BI38" s="8">
        <f t="shared" si="27"/>
        <v>0</v>
      </c>
      <c r="BJ38" s="8">
        <f t="shared" si="27"/>
        <v>0</v>
      </c>
      <c r="BK38" s="8">
        <f t="shared" si="27"/>
        <v>0</v>
      </c>
      <c r="BL38" s="8">
        <f t="shared" si="27"/>
        <v>0</v>
      </c>
      <c r="BM38" s="8">
        <f t="shared" si="27"/>
        <v>0</v>
      </c>
      <c r="BN38" s="8">
        <f t="shared" si="27"/>
        <v>0</v>
      </c>
      <c r="BO38" s="8">
        <f t="shared" si="27"/>
        <v>0</v>
      </c>
      <c r="BP38" s="8">
        <f t="shared" si="27"/>
        <v>0</v>
      </c>
      <c r="BQ38" s="8">
        <f t="shared" si="27"/>
        <v>0</v>
      </c>
      <c r="BR38" s="8">
        <f t="shared" si="27"/>
        <v>0</v>
      </c>
      <c r="BS38" s="8">
        <f t="shared" si="27"/>
        <v>0</v>
      </c>
      <c r="BT38" s="8">
        <f t="shared" si="22"/>
        <v>0</v>
      </c>
      <c r="BU38" s="8">
        <f t="shared" si="22"/>
        <v>0</v>
      </c>
      <c r="BV38" s="8">
        <f t="shared" si="22"/>
        <v>0</v>
      </c>
      <c r="BW38" s="8">
        <f t="shared" si="22"/>
        <v>0</v>
      </c>
      <c r="BX38" s="8">
        <f t="shared" si="22"/>
        <v>0</v>
      </c>
      <c r="BY38" s="8">
        <f t="shared" si="22"/>
        <v>0</v>
      </c>
      <c r="BZ38" s="8">
        <f t="shared" si="22"/>
        <v>0</v>
      </c>
      <c r="CA38" s="8">
        <f t="shared" si="22"/>
        <v>0</v>
      </c>
      <c r="CB38" s="8">
        <f t="shared" si="22"/>
        <v>0</v>
      </c>
      <c r="CC38" s="8">
        <f t="shared" si="22"/>
        <v>0</v>
      </c>
      <c r="CD38" s="8">
        <f t="shared" si="28"/>
        <v>0</v>
      </c>
      <c r="CE38" s="8">
        <f t="shared" si="28"/>
        <v>0</v>
      </c>
      <c r="CF38" s="8">
        <f t="shared" si="28"/>
        <v>0</v>
      </c>
      <c r="CG38" s="8">
        <f t="shared" si="28"/>
        <v>0</v>
      </c>
      <c r="CH38" s="8">
        <f t="shared" si="28"/>
        <v>0</v>
      </c>
      <c r="CI38" s="8">
        <f t="shared" si="28"/>
        <v>0</v>
      </c>
      <c r="CJ38" s="8">
        <f t="shared" si="28"/>
        <v>0</v>
      </c>
      <c r="CK38" s="29">
        <f t="shared" si="28"/>
        <v>0</v>
      </c>
      <c r="CN38" s="8">
        <v>17.5</v>
      </c>
      <c r="CO38" s="16">
        <v>0.05</v>
      </c>
      <c r="CP38" s="16">
        <v>-1.3937640888224001E-2</v>
      </c>
      <c r="CQ38" s="16">
        <v>1.3806856924321228E-2</v>
      </c>
      <c r="CR38" s="16">
        <v>2.3586971436707887E-2</v>
      </c>
      <c r="CS38" s="16">
        <f t="shared" si="14"/>
        <v>7.3456187472805121E-2</v>
      </c>
    </row>
    <row r="39" spans="1:97" x14ac:dyDescent="0.45">
      <c r="A39" s="7"/>
      <c r="B39" s="57"/>
      <c r="C39" s="17"/>
      <c r="D39" s="17">
        <f t="shared" si="0"/>
        <v>0</v>
      </c>
      <c r="E39" s="17">
        <f t="shared" si="9"/>
        <v>0</v>
      </c>
      <c r="F39" s="17">
        <f t="shared" si="1"/>
        <v>0</v>
      </c>
      <c r="G39" s="18">
        <f t="shared" si="23"/>
        <v>0</v>
      </c>
      <c r="H39" s="18">
        <f>IFERROR(IRR((J39,L39:CK39),0),0)</f>
        <v>0</v>
      </c>
      <c r="I39" s="52">
        <f t="shared" si="24"/>
        <v>0</v>
      </c>
      <c r="J39" s="17">
        <f t="shared" si="13"/>
        <v>0</v>
      </c>
      <c r="K39" s="28">
        <f t="shared" si="3"/>
        <v>0</v>
      </c>
      <c r="L39" s="8">
        <f t="shared" si="29"/>
        <v>0</v>
      </c>
      <c r="M39" s="8">
        <f t="shared" si="29"/>
        <v>0</v>
      </c>
      <c r="N39" s="8">
        <f t="shared" si="29"/>
        <v>0</v>
      </c>
      <c r="O39" s="8">
        <f t="shared" si="29"/>
        <v>0</v>
      </c>
      <c r="P39" s="8">
        <f t="shared" si="29"/>
        <v>0</v>
      </c>
      <c r="Q39" s="8">
        <f t="shared" si="29"/>
        <v>0</v>
      </c>
      <c r="R39" s="8">
        <f t="shared" si="29"/>
        <v>0</v>
      </c>
      <c r="S39" s="8">
        <f t="shared" si="29"/>
        <v>0</v>
      </c>
      <c r="T39" s="8">
        <f t="shared" si="29"/>
        <v>0</v>
      </c>
      <c r="U39" s="8">
        <f t="shared" si="29"/>
        <v>0</v>
      </c>
      <c r="V39" s="8">
        <f t="shared" si="29"/>
        <v>0</v>
      </c>
      <c r="W39" s="8">
        <f t="shared" si="29"/>
        <v>0</v>
      </c>
      <c r="X39" s="8">
        <f t="shared" si="29"/>
        <v>0</v>
      </c>
      <c r="Y39" s="8">
        <f t="shared" si="29"/>
        <v>0</v>
      </c>
      <c r="Z39" s="8">
        <f t="shared" si="29"/>
        <v>0</v>
      </c>
      <c r="AA39" s="8">
        <f t="shared" si="29"/>
        <v>0</v>
      </c>
      <c r="AB39" s="8">
        <f t="shared" si="25"/>
        <v>0</v>
      </c>
      <c r="AC39" s="8">
        <f t="shared" si="25"/>
        <v>0</v>
      </c>
      <c r="AD39" s="8">
        <f t="shared" si="25"/>
        <v>0</v>
      </c>
      <c r="AE39" s="8">
        <f t="shared" si="25"/>
        <v>0</v>
      </c>
      <c r="AF39" s="8">
        <f t="shared" si="25"/>
        <v>0</v>
      </c>
      <c r="AG39" s="8">
        <f t="shared" si="25"/>
        <v>0</v>
      </c>
      <c r="AH39" s="8">
        <f t="shared" si="25"/>
        <v>0</v>
      </c>
      <c r="AI39" s="8">
        <f t="shared" si="25"/>
        <v>0</v>
      </c>
      <c r="AJ39" s="8">
        <f t="shared" si="25"/>
        <v>0</v>
      </c>
      <c r="AK39" s="8">
        <f t="shared" si="25"/>
        <v>0</v>
      </c>
      <c r="AL39" s="8">
        <f t="shared" si="25"/>
        <v>0</v>
      </c>
      <c r="AM39" s="8">
        <f t="shared" si="25"/>
        <v>0</v>
      </c>
      <c r="AN39" s="8">
        <f t="shared" si="25"/>
        <v>0</v>
      </c>
      <c r="AO39" s="8">
        <f t="shared" si="25"/>
        <v>0</v>
      </c>
      <c r="AP39" s="8">
        <f t="shared" si="26"/>
        <v>0</v>
      </c>
      <c r="AQ39" s="8">
        <f t="shared" si="26"/>
        <v>0</v>
      </c>
      <c r="AR39" s="8">
        <f t="shared" si="26"/>
        <v>0</v>
      </c>
      <c r="AS39" s="8">
        <f t="shared" si="26"/>
        <v>0</v>
      </c>
      <c r="AT39" s="8">
        <f t="shared" si="26"/>
        <v>0</v>
      </c>
      <c r="AU39" s="8">
        <f t="shared" si="26"/>
        <v>0</v>
      </c>
      <c r="AV39" s="8">
        <f t="shared" si="26"/>
        <v>0</v>
      </c>
      <c r="AW39" s="8">
        <f t="shared" si="26"/>
        <v>0</v>
      </c>
      <c r="AX39" s="8">
        <f t="shared" si="26"/>
        <v>0</v>
      </c>
      <c r="AY39" s="8">
        <f t="shared" si="26"/>
        <v>0</v>
      </c>
      <c r="AZ39" s="8">
        <f t="shared" si="21"/>
        <v>0</v>
      </c>
      <c r="BA39" s="8">
        <f t="shared" si="21"/>
        <v>0</v>
      </c>
      <c r="BB39" s="8">
        <f t="shared" si="21"/>
        <v>0</v>
      </c>
      <c r="BC39" s="8">
        <f t="shared" si="21"/>
        <v>0</v>
      </c>
      <c r="BD39" s="8">
        <f t="shared" si="21"/>
        <v>0</v>
      </c>
      <c r="BE39" s="8">
        <f t="shared" si="21"/>
        <v>0</v>
      </c>
      <c r="BF39" s="8">
        <f t="shared" si="21"/>
        <v>0</v>
      </c>
      <c r="BG39" s="8">
        <f t="shared" si="21"/>
        <v>0</v>
      </c>
      <c r="BH39" s="8">
        <f t="shared" si="27"/>
        <v>0</v>
      </c>
      <c r="BI39" s="8">
        <f t="shared" si="27"/>
        <v>0</v>
      </c>
      <c r="BJ39" s="8">
        <f t="shared" si="27"/>
        <v>0</v>
      </c>
      <c r="BK39" s="8">
        <f t="shared" si="27"/>
        <v>0</v>
      </c>
      <c r="BL39" s="8">
        <f t="shared" si="27"/>
        <v>0</v>
      </c>
      <c r="BM39" s="8">
        <f t="shared" si="27"/>
        <v>0</v>
      </c>
      <c r="BN39" s="8">
        <f t="shared" si="27"/>
        <v>0</v>
      </c>
      <c r="BO39" s="8">
        <f t="shared" si="27"/>
        <v>0</v>
      </c>
      <c r="BP39" s="8">
        <f t="shared" si="27"/>
        <v>0</v>
      </c>
      <c r="BQ39" s="8">
        <f t="shared" si="27"/>
        <v>0</v>
      </c>
      <c r="BR39" s="8">
        <f t="shared" si="27"/>
        <v>0</v>
      </c>
      <c r="BS39" s="8">
        <f t="shared" si="27"/>
        <v>0</v>
      </c>
      <c r="BT39" s="8">
        <f t="shared" si="22"/>
        <v>0</v>
      </c>
      <c r="BU39" s="8">
        <f t="shared" si="22"/>
        <v>0</v>
      </c>
      <c r="BV39" s="8">
        <f t="shared" si="22"/>
        <v>0</v>
      </c>
      <c r="BW39" s="8">
        <f t="shared" si="22"/>
        <v>0</v>
      </c>
      <c r="BX39" s="8">
        <f t="shared" si="22"/>
        <v>0</v>
      </c>
      <c r="BY39" s="8">
        <f t="shared" si="22"/>
        <v>0</v>
      </c>
      <c r="BZ39" s="8">
        <f t="shared" si="22"/>
        <v>0</v>
      </c>
      <c r="CA39" s="8">
        <f t="shared" si="22"/>
        <v>0</v>
      </c>
      <c r="CB39" s="8">
        <f t="shared" si="22"/>
        <v>0</v>
      </c>
      <c r="CC39" s="8">
        <f t="shared" si="22"/>
        <v>0</v>
      </c>
      <c r="CD39" s="8">
        <f t="shared" si="28"/>
        <v>0</v>
      </c>
      <c r="CE39" s="8">
        <f t="shared" si="28"/>
        <v>0</v>
      </c>
      <c r="CF39" s="8">
        <f t="shared" si="28"/>
        <v>0</v>
      </c>
      <c r="CG39" s="8">
        <f t="shared" si="28"/>
        <v>0</v>
      </c>
      <c r="CH39" s="8">
        <f t="shared" si="28"/>
        <v>0</v>
      </c>
      <c r="CI39" s="8">
        <f t="shared" si="28"/>
        <v>0</v>
      </c>
      <c r="CJ39" s="8">
        <f t="shared" si="28"/>
        <v>0</v>
      </c>
      <c r="CK39" s="29">
        <f t="shared" si="28"/>
        <v>0</v>
      </c>
      <c r="CN39" s="8">
        <v>18</v>
      </c>
      <c r="CO39" s="16">
        <v>0.05</v>
      </c>
      <c r="CP39" s="16">
        <v>-1.3774590692737206E-2</v>
      </c>
      <c r="CQ39" s="16">
        <v>1.3960445114828031E-2</v>
      </c>
      <c r="CR39" s="16">
        <v>2.4068758699811663E-2</v>
      </c>
      <c r="CS39" s="16">
        <f t="shared" si="14"/>
        <v>7.4254613121902485E-2</v>
      </c>
    </row>
    <row r="40" spans="1:97" x14ac:dyDescent="0.45">
      <c r="A40" s="7"/>
      <c r="B40" s="57"/>
      <c r="C40" s="17"/>
      <c r="D40" s="17">
        <f t="shared" si="0"/>
        <v>0</v>
      </c>
      <c r="E40" s="17">
        <f t="shared" si="9"/>
        <v>0</v>
      </c>
      <c r="F40" s="17">
        <f t="shared" si="1"/>
        <v>0</v>
      </c>
      <c r="G40" s="18">
        <f t="shared" si="23"/>
        <v>0</v>
      </c>
      <c r="H40" s="18">
        <f>IFERROR(IRR((J40,L40:CK40),0),0)</f>
        <v>0</v>
      </c>
      <c r="I40" s="52">
        <f t="shared" si="24"/>
        <v>0</v>
      </c>
      <c r="J40" s="17">
        <f t="shared" si="13"/>
        <v>0</v>
      </c>
      <c r="K40" s="28">
        <f t="shared" si="3"/>
        <v>0</v>
      </c>
      <c r="L40" s="8">
        <f t="shared" si="29"/>
        <v>0</v>
      </c>
      <c r="M40" s="8">
        <f t="shared" si="29"/>
        <v>0</v>
      </c>
      <c r="N40" s="8">
        <f t="shared" si="29"/>
        <v>0</v>
      </c>
      <c r="O40" s="8">
        <f t="shared" si="29"/>
        <v>0</v>
      </c>
      <c r="P40" s="8">
        <f t="shared" si="29"/>
        <v>0</v>
      </c>
      <c r="Q40" s="8">
        <f t="shared" si="29"/>
        <v>0</v>
      </c>
      <c r="R40" s="8">
        <f t="shared" si="29"/>
        <v>0</v>
      </c>
      <c r="S40" s="8">
        <f t="shared" si="29"/>
        <v>0</v>
      </c>
      <c r="T40" s="8">
        <f t="shared" si="29"/>
        <v>0</v>
      </c>
      <c r="U40" s="8">
        <f t="shared" si="29"/>
        <v>0</v>
      </c>
      <c r="V40" s="8">
        <f t="shared" si="29"/>
        <v>0</v>
      </c>
      <c r="W40" s="8">
        <f t="shared" si="29"/>
        <v>0</v>
      </c>
      <c r="X40" s="8">
        <f t="shared" si="29"/>
        <v>0</v>
      </c>
      <c r="Y40" s="8">
        <f t="shared" si="29"/>
        <v>0</v>
      </c>
      <c r="Z40" s="8">
        <f t="shared" si="29"/>
        <v>0</v>
      </c>
      <c r="AA40" s="8">
        <f t="shared" si="29"/>
        <v>0</v>
      </c>
      <c r="AB40" s="8">
        <f t="shared" si="25"/>
        <v>0</v>
      </c>
      <c r="AC40" s="8">
        <f t="shared" si="25"/>
        <v>0</v>
      </c>
      <c r="AD40" s="8">
        <f t="shared" si="25"/>
        <v>0</v>
      </c>
      <c r="AE40" s="8">
        <f t="shared" si="25"/>
        <v>0</v>
      </c>
      <c r="AF40" s="8">
        <f t="shared" si="25"/>
        <v>0</v>
      </c>
      <c r="AG40" s="8">
        <f t="shared" si="25"/>
        <v>0</v>
      </c>
      <c r="AH40" s="8">
        <f t="shared" si="25"/>
        <v>0</v>
      </c>
      <c r="AI40" s="8">
        <f t="shared" si="25"/>
        <v>0</v>
      </c>
      <c r="AJ40" s="8">
        <f t="shared" si="25"/>
        <v>0</v>
      </c>
      <c r="AK40" s="8">
        <f t="shared" si="25"/>
        <v>0</v>
      </c>
      <c r="AL40" s="8">
        <f t="shared" si="25"/>
        <v>0</v>
      </c>
      <c r="AM40" s="8">
        <f t="shared" si="25"/>
        <v>0</v>
      </c>
      <c r="AN40" s="8">
        <f t="shared" si="25"/>
        <v>0</v>
      </c>
      <c r="AO40" s="8">
        <f t="shared" si="25"/>
        <v>0</v>
      </c>
      <c r="AP40" s="8">
        <f t="shared" si="26"/>
        <v>0</v>
      </c>
      <c r="AQ40" s="8">
        <f t="shared" si="26"/>
        <v>0</v>
      </c>
      <c r="AR40" s="8">
        <f t="shared" si="26"/>
        <v>0</v>
      </c>
      <c r="AS40" s="8">
        <f t="shared" si="26"/>
        <v>0</v>
      </c>
      <c r="AT40" s="8">
        <f t="shared" si="26"/>
        <v>0</v>
      </c>
      <c r="AU40" s="8">
        <f t="shared" si="26"/>
        <v>0</v>
      </c>
      <c r="AV40" s="8">
        <f t="shared" si="26"/>
        <v>0</v>
      </c>
      <c r="AW40" s="8">
        <f t="shared" si="26"/>
        <v>0</v>
      </c>
      <c r="AX40" s="8">
        <f t="shared" si="26"/>
        <v>0</v>
      </c>
      <c r="AY40" s="8">
        <f t="shared" si="26"/>
        <v>0</v>
      </c>
      <c r="AZ40" s="8">
        <f t="shared" si="21"/>
        <v>0</v>
      </c>
      <c r="BA40" s="8">
        <f t="shared" si="21"/>
        <v>0</v>
      </c>
      <c r="BB40" s="8">
        <f t="shared" si="21"/>
        <v>0</v>
      </c>
      <c r="BC40" s="8">
        <f t="shared" si="21"/>
        <v>0</v>
      </c>
      <c r="BD40" s="8">
        <f t="shared" si="21"/>
        <v>0</v>
      </c>
      <c r="BE40" s="8">
        <f t="shared" si="21"/>
        <v>0</v>
      </c>
      <c r="BF40" s="8">
        <f t="shared" si="21"/>
        <v>0</v>
      </c>
      <c r="BG40" s="8">
        <f t="shared" si="21"/>
        <v>0</v>
      </c>
      <c r="BH40" s="8">
        <f t="shared" si="27"/>
        <v>0</v>
      </c>
      <c r="BI40" s="8">
        <f t="shared" si="27"/>
        <v>0</v>
      </c>
      <c r="BJ40" s="8">
        <f t="shared" si="27"/>
        <v>0</v>
      </c>
      <c r="BK40" s="8">
        <f t="shared" si="27"/>
        <v>0</v>
      </c>
      <c r="BL40" s="8">
        <f t="shared" si="27"/>
        <v>0</v>
      </c>
      <c r="BM40" s="8">
        <f t="shared" si="27"/>
        <v>0</v>
      </c>
      <c r="BN40" s="8">
        <f t="shared" si="27"/>
        <v>0</v>
      </c>
      <c r="BO40" s="8">
        <f t="shared" si="27"/>
        <v>0</v>
      </c>
      <c r="BP40" s="8">
        <f t="shared" si="27"/>
        <v>0</v>
      </c>
      <c r="BQ40" s="8">
        <f t="shared" si="27"/>
        <v>0</v>
      </c>
      <c r="BR40" s="8">
        <f t="shared" si="27"/>
        <v>0</v>
      </c>
      <c r="BS40" s="8">
        <f t="shared" si="27"/>
        <v>0</v>
      </c>
      <c r="BT40" s="8">
        <f t="shared" si="22"/>
        <v>0</v>
      </c>
      <c r="BU40" s="8">
        <f t="shared" si="22"/>
        <v>0</v>
      </c>
      <c r="BV40" s="8">
        <f t="shared" si="22"/>
        <v>0</v>
      </c>
      <c r="BW40" s="8">
        <f t="shared" si="22"/>
        <v>0</v>
      </c>
      <c r="BX40" s="8">
        <f t="shared" si="22"/>
        <v>0</v>
      </c>
      <c r="BY40" s="8">
        <f t="shared" si="22"/>
        <v>0</v>
      </c>
      <c r="BZ40" s="8">
        <f t="shared" si="22"/>
        <v>0</v>
      </c>
      <c r="CA40" s="8">
        <f t="shared" si="22"/>
        <v>0</v>
      </c>
      <c r="CB40" s="8">
        <f t="shared" si="22"/>
        <v>0</v>
      </c>
      <c r="CC40" s="8">
        <f t="shared" si="22"/>
        <v>0</v>
      </c>
      <c r="CD40" s="8">
        <f t="shared" si="28"/>
        <v>0</v>
      </c>
      <c r="CE40" s="8">
        <f t="shared" si="28"/>
        <v>0</v>
      </c>
      <c r="CF40" s="8">
        <f t="shared" si="28"/>
        <v>0</v>
      </c>
      <c r="CG40" s="8">
        <f t="shared" si="28"/>
        <v>0</v>
      </c>
      <c r="CH40" s="8">
        <f t="shared" si="28"/>
        <v>0</v>
      </c>
      <c r="CI40" s="8">
        <f t="shared" si="28"/>
        <v>0</v>
      </c>
      <c r="CJ40" s="8">
        <f t="shared" si="28"/>
        <v>0</v>
      </c>
      <c r="CK40" s="29">
        <f t="shared" si="28"/>
        <v>0</v>
      </c>
      <c r="CN40" s="8">
        <v>18.5</v>
      </c>
      <c r="CO40" s="16">
        <v>0.05</v>
      </c>
      <c r="CP40" s="16">
        <v>-1.3614302361588131E-2</v>
      </c>
      <c r="CQ40" s="16">
        <v>1.4105540721001916E-2</v>
      </c>
      <c r="CR40" s="16">
        <v>2.4541657103271056E-2</v>
      </c>
      <c r="CS40" s="16">
        <f t="shared" si="14"/>
        <v>7.5032895462684851E-2</v>
      </c>
    </row>
    <row r="41" spans="1:97" x14ac:dyDescent="0.45">
      <c r="A41" s="7"/>
      <c r="B41" s="57"/>
      <c r="C41" s="17"/>
      <c r="D41" s="17">
        <f t="shared" si="0"/>
        <v>0</v>
      </c>
      <c r="E41" s="17">
        <f t="shared" si="9"/>
        <v>0</v>
      </c>
      <c r="F41" s="17">
        <f t="shared" si="1"/>
        <v>0</v>
      </c>
      <c r="G41" s="18">
        <f t="shared" si="23"/>
        <v>0</v>
      </c>
      <c r="H41" s="18">
        <f>IFERROR(IRR((J41,L41:CK41),0),0)</f>
        <v>0</v>
      </c>
      <c r="I41" s="52">
        <f t="shared" si="24"/>
        <v>0</v>
      </c>
      <c r="J41" s="17">
        <f t="shared" si="13"/>
        <v>0</v>
      </c>
      <c r="K41" s="28">
        <f t="shared" si="3"/>
        <v>0</v>
      </c>
      <c r="L41" s="8">
        <f t="shared" si="29"/>
        <v>0</v>
      </c>
      <c r="M41" s="8">
        <f t="shared" si="29"/>
        <v>0</v>
      </c>
      <c r="N41" s="8">
        <f t="shared" si="29"/>
        <v>0</v>
      </c>
      <c r="O41" s="8">
        <f t="shared" si="29"/>
        <v>0</v>
      </c>
      <c r="P41" s="8">
        <f t="shared" si="29"/>
        <v>0</v>
      </c>
      <c r="Q41" s="8">
        <f t="shared" si="29"/>
        <v>0</v>
      </c>
      <c r="R41" s="8">
        <f t="shared" si="29"/>
        <v>0</v>
      </c>
      <c r="S41" s="8">
        <f t="shared" si="29"/>
        <v>0</v>
      </c>
      <c r="T41" s="8">
        <f t="shared" si="29"/>
        <v>0</v>
      </c>
      <c r="U41" s="8">
        <f t="shared" si="29"/>
        <v>0</v>
      </c>
      <c r="V41" s="8">
        <f t="shared" si="29"/>
        <v>0</v>
      </c>
      <c r="W41" s="8">
        <f t="shared" si="29"/>
        <v>0</v>
      </c>
      <c r="X41" s="8">
        <f t="shared" si="29"/>
        <v>0</v>
      </c>
      <c r="Y41" s="8">
        <f t="shared" si="29"/>
        <v>0</v>
      </c>
      <c r="Z41" s="8">
        <f t="shared" si="29"/>
        <v>0</v>
      </c>
      <c r="AA41" s="8">
        <f t="shared" si="29"/>
        <v>0</v>
      </c>
      <c r="AB41" s="8">
        <f t="shared" si="25"/>
        <v>0</v>
      </c>
      <c r="AC41" s="8">
        <f t="shared" si="25"/>
        <v>0</v>
      </c>
      <c r="AD41" s="8">
        <f t="shared" si="25"/>
        <v>0</v>
      </c>
      <c r="AE41" s="8">
        <f t="shared" si="25"/>
        <v>0</v>
      </c>
      <c r="AF41" s="8">
        <f t="shared" si="25"/>
        <v>0</v>
      </c>
      <c r="AG41" s="8">
        <f t="shared" si="25"/>
        <v>0</v>
      </c>
      <c r="AH41" s="8">
        <f t="shared" si="25"/>
        <v>0</v>
      </c>
      <c r="AI41" s="8">
        <f t="shared" si="25"/>
        <v>0</v>
      </c>
      <c r="AJ41" s="8">
        <f t="shared" si="25"/>
        <v>0</v>
      </c>
      <c r="AK41" s="8">
        <f t="shared" si="25"/>
        <v>0</v>
      </c>
      <c r="AL41" s="8">
        <f t="shared" si="25"/>
        <v>0</v>
      </c>
      <c r="AM41" s="8">
        <f t="shared" si="25"/>
        <v>0</v>
      </c>
      <c r="AN41" s="8">
        <f t="shared" si="25"/>
        <v>0</v>
      </c>
      <c r="AO41" s="8">
        <f t="shared" si="25"/>
        <v>0</v>
      </c>
      <c r="AP41" s="8">
        <f t="shared" si="26"/>
        <v>0</v>
      </c>
      <c r="AQ41" s="8">
        <f t="shared" si="26"/>
        <v>0</v>
      </c>
      <c r="AR41" s="8">
        <f t="shared" si="26"/>
        <v>0</v>
      </c>
      <c r="AS41" s="8">
        <f t="shared" si="26"/>
        <v>0</v>
      </c>
      <c r="AT41" s="8">
        <f t="shared" si="26"/>
        <v>0</v>
      </c>
      <c r="AU41" s="8">
        <f t="shared" si="26"/>
        <v>0</v>
      </c>
      <c r="AV41" s="8">
        <f t="shared" si="26"/>
        <v>0</v>
      </c>
      <c r="AW41" s="8">
        <f t="shared" si="26"/>
        <v>0</v>
      </c>
      <c r="AX41" s="8">
        <f t="shared" si="26"/>
        <v>0</v>
      </c>
      <c r="AY41" s="8">
        <f t="shared" si="26"/>
        <v>0</v>
      </c>
      <c r="AZ41" s="8">
        <f t="shared" si="21"/>
        <v>0</v>
      </c>
      <c r="BA41" s="8">
        <f t="shared" si="21"/>
        <v>0</v>
      </c>
      <c r="BB41" s="8">
        <f t="shared" si="21"/>
        <v>0</v>
      </c>
      <c r="BC41" s="8">
        <f t="shared" si="21"/>
        <v>0</v>
      </c>
      <c r="BD41" s="8">
        <f t="shared" si="21"/>
        <v>0</v>
      </c>
      <c r="BE41" s="8">
        <f t="shared" si="21"/>
        <v>0</v>
      </c>
      <c r="BF41" s="8">
        <f t="shared" si="21"/>
        <v>0</v>
      </c>
      <c r="BG41" s="8">
        <f t="shared" si="21"/>
        <v>0</v>
      </c>
      <c r="BH41" s="8">
        <f t="shared" si="27"/>
        <v>0</v>
      </c>
      <c r="BI41" s="8">
        <f t="shared" si="27"/>
        <v>0</v>
      </c>
      <c r="BJ41" s="8">
        <f t="shared" si="27"/>
        <v>0</v>
      </c>
      <c r="BK41" s="8">
        <f t="shared" si="27"/>
        <v>0</v>
      </c>
      <c r="BL41" s="8">
        <f t="shared" si="27"/>
        <v>0</v>
      </c>
      <c r="BM41" s="8">
        <f t="shared" si="27"/>
        <v>0</v>
      </c>
      <c r="BN41" s="8">
        <f t="shared" si="27"/>
        <v>0</v>
      </c>
      <c r="BO41" s="8">
        <f t="shared" si="27"/>
        <v>0</v>
      </c>
      <c r="BP41" s="8">
        <f t="shared" si="27"/>
        <v>0</v>
      </c>
      <c r="BQ41" s="8">
        <f t="shared" si="27"/>
        <v>0</v>
      </c>
      <c r="BR41" s="8">
        <f t="shared" si="27"/>
        <v>0</v>
      </c>
      <c r="BS41" s="8">
        <f t="shared" si="27"/>
        <v>0</v>
      </c>
      <c r="BT41" s="8">
        <f t="shared" si="22"/>
        <v>0</v>
      </c>
      <c r="BU41" s="8">
        <f t="shared" si="22"/>
        <v>0</v>
      </c>
      <c r="BV41" s="8">
        <f t="shared" si="22"/>
        <v>0</v>
      </c>
      <c r="BW41" s="8">
        <f t="shared" si="22"/>
        <v>0</v>
      </c>
      <c r="BX41" s="8">
        <f t="shared" si="22"/>
        <v>0</v>
      </c>
      <c r="BY41" s="8">
        <f t="shared" si="22"/>
        <v>0</v>
      </c>
      <c r="BZ41" s="8">
        <f t="shared" si="22"/>
        <v>0</v>
      </c>
      <c r="CA41" s="8">
        <f t="shared" si="22"/>
        <v>0</v>
      </c>
      <c r="CB41" s="8">
        <f t="shared" si="22"/>
        <v>0</v>
      </c>
      <c r="CC41" s="8">
        <f t="shared" si="22"/>
        <v>0</v>
      </c>
      <c r="CD41" s="8">
        <f t="shared" si="28"/>
        <v>0</v>
      </c>
      <c r="CE41" s="8">
        <f t="shared" si="28"/>
        <v>0</v>
      </c>
      <c r="CF41" s="8">
        <f t="shared" si="28"/>
        <v>0</v>
      </c>
      <c r="CG41" s="8">
        <f t="shared" si="28"/>
        <v>0</v>
      </c>
      <c r="CH41" s="8">
        <f t="shared" si="28"/>
        <v>0</v>
      </c>
      <c r="CI41" s="8">
        <f t="shared" si="28"/>
        <v>0</v>
      </c>
      <c r="CJ41" s="8">
        <f t="shared" si="28"/>
        <v>0</v>
      </c>
      <c r="CK41" s="29">
        <f t="shared" si="28"/>
        <v>0</v>
      </c>
      <c r="CN41" s="8">
        <v>19</v>
      </c>
      <c r="CO41" s="16">
        <v>0.05</v>
      </c>
      <c r="CP41" s="16">
        <v>-1.3456721388304879E-2</v>
      </c>
      <c r="CQ41" s="16">
        <v>1.4242432564500786E-2</v>
      </c>
      <c r="CR41" s="16">
        <v>2.500579355995269E-2</v>
      </c>
      <c r="CS41" s="16">
        <f t="shared" si="14"/>
        <v>7.5791504736148596E-2</v>
      </c>
    </row>
    <row r="42" spans="1:97" x14ac:dyDescent="0.45">
      <c r="A42" s="7"/>
      <c r="B42" s="57"/>
      <c r="C42" s="17"/>
      <c r="D42" s="17">
        <f t="shared" si="0"/>
        <v>0</v>
      </c>
      <c r="E42" s="17">
        <f t="shared" si="9"/>
        <v>0</v>
      </c>
      <c r="F42" s="17">
        <f t="shared" si="1"/>
        <v>0</v>
      </c>
      <c r="G42" s="18">
        <f t="shared" si="23"/>
        <v>0</v>
      </c>
      <c r="H42" s="18">
        <f>IFERROR(IRR((J42,L42:CK42),0),0)</f>
        <v>0</v>
      </c>
      <c r="I42" s="52">
        <f t="shared" si="24"/>
        <v>0</v>
      </c>
      <c r="J42" s="17">
        <f t="shared" si="13"/>
        <v>0</v>
      </c>
      <c r="K42" s="28">
        <f t="shared" si="3"/>
        <v>0</v>
      </c>
      <c r="L42" s="8">
        <f t="shared" si="29"/>
        <v>0</v>
      </c>
      <c r="M42" s="8">
        <f t="shared" si="29"/>
        <v>0</v>
      </c>
      <c r="N42" s="8">
        <f t="shared" si="29"/>
        <v>0</v>
      </c>
      <c r="O42" s="8">
        <f t="shared" si="29"/>
        <v>0</v>
      </c>
      <c r="P42" s="8">
        <f t="shared" si="29"/>
        <v>0</v>
      </c>
      <c r="Q42" s="8">
        <f t="shared" si="29"/>
        <v>0</v>
      </c>
      <c r="R42" s="8">
        <f t="shared" si="29"/>
        <v>0</v>
      </c>
      <c r="S42" s="8">
        <f t="shared" si="29"/>
        <v>0</v>
      </c>
      <c r="T42" s="8">
        <f t="shared" si="29"/>
        <v>0</v>
      </c>
      <c r="U42" s="8">
        <f t="shared" si="29"/>
        <v>0</v>
      </c>
      <c r="V42" s="8">
        <f t="shared" si="29"/>
        <v>0</v>
      </c>
      <c r="W42" s="8">
        <f t="shared" si="29"/>
        <v>0</v>
      </c>
      <c r="X42" s="8">
        <f t="shared" si="29"/>
        <v>0</v>
      </c>
      <c r="Y42" s="8">
        <f t="shared" si="29"/>
        <v>0</v>
      </c>
      <c r="Z42" s="8">
        <f t="shared" si="29"/>
        <v>0</v>
      </c>
      <c r="AA42" s="8">
        <f t="shared" si="29"/>
        <v>0</v>
      </c>
      <c r="AB42" s="8">
        <f t="shared" si="25"/>
        <v>0</v>
      </c>
      <c r="AC42" s="8">
        <f t="shared" si="25"/>
        <v>0</v>
      </c>
      <c r="AD42" s="8">
        <f t="shared" si="25"/>
        <v>0</v>
      </c>
      <c r="AE42" s="8">
        <f t="shared" si="25"/>
        <v>0</v>
      </c>
      <c r="AF42" s="8">
        <f t="shared" si="25"/>
        <v>0</v>
      </c>
      <c r="AG42" s="8">
        <f t="shared" si="25"/>
        <v>0</v>
      </c>
      <c r="AH42" s="8">
        <f t="shared" si="25"/>
        <v>0</v>
      </c>
      <c r="AI42" s="8">
        <f t="shared" si="25"/>
        <v>0</v>
      </c>
      <c r="AJ42" s="8">
        <f t="shared" si="25"/>
        <v>0</v>
      </c>
      <c r="AK42" s="8">
        <f t="shared" si="25"/>
        <v>0</v>
      </c>
      <c r="AL42" s="8">
        <f t="shared" si="25"/>
        <v>0</v>
      </c>
      <c r="AM42" s="8">
        <f t="shared" si="25"/>
        <v>0</v>
      </c>
      <c r="AN42" s="8">
        <f t="shared" si="25"/>
        <v>0</v>
      </c>
      <c r="AO42" s="8">
        <f t="shared" si="25"/>
        <v>0</v>
      </c>
      <c r="AP42" s="8">
        <f t="shared" si="26"/>
        <v>0</v>
      </c>
      <c r="AQ42" s="8">
        <f t="shared" si="26"/>
        <v>0</v>
      </c>
      <c r="AR42" s="8">
        <f t="shared" si="26"/>
        <v>0</v>
      </c>
      <c r="AS42" s="8">
        <f t="shared" si="26"/>
        <v>0</v>
      </c>
      <c r="AT42" s="8">
        <f t="shared" si="26"/>
        <v>0</v>
      </c>
      <c r="AU42" s="8">
        <f t="shared" si="26"/>
        <v>0</v>
      </c>
      <c r="AV42" s="8">
        <f t="shared" si="26"/>
        <v>0</v>
      </c>
      <c r="AW42" s="8">
        <f t="shared" si="26"/>
        <v>0</v>
      </c>
      <c r="AX42" s="8">
        <f t="shared" si="26"/>
        <v>0</v>
      </c>
      <c r="AY42" s="8">
        <f t="shared" si="26"/>
        <v>0</v>
      </c>
      <c r="AZ42" s="8">
        <f t="shared" si="21"/>
        <v>0</v>
      </c>
      <c r="BA42" s="8">
        <f t="shared" si="21"/>
        <v>0</v>
      </c>
      <c r="BB42" s="8">
        <f t="shared" si="21"/>
        <v>0</v>
      </c>
      <c r="BC42" s="8">
        <f t="shared" si="21"/>
        <v>0</v>
      </c>
      <c r="BD42" s="8">
        <f t="shared" si="21"/>
        <v>0</v>
      </c>
      <c r="BE42" s="8">
        <f t="shared" si="21"/>
        <v>0</v>
      </c>
      <c r="BF42" s="8">
        <f t="shared" si="21"/>
        <v>0</v>
      </c>
      <c r="BG42" s="8">
        <f t="shared" si="21"/>
        <v>0</v>
      </c>
      <c r="BH42" s="8">
        <f t="shared" si="27"/>
        <v>0</v>
      </c>
      <c r="BI42" s="8">
        <f t="shared" si="27"/>
        <v>0</v>
      </c>
      <c r="BJ42" s="8">
        <f t="shared" si="27"/>
        <v>0</v>
      </c>
      <c r="BK42" s="8">
        <f t="shared" si="27"/>
        <v>0</v>
      </c>
      <c r="BL42" s="8">
        <f t="shared" si="27"/>
        <v>0</v>
      </c>
      <c r="BM42" s="8">
        <f t="shared" si="27"/>
        <v>0</v>
      </c>
      <c r="BN42" s="8">
        <f t="shared" si="27"/>
        <v>0</v>
      </c>
      <c r="BO42" s="8">
        <f t="shared" si="27"/>
        <v>0</v>
      </c>
      <c r="BP42" s="8">
        <f t="shared" si="27"/>
        <v>0</v>
      </c>
      <c r="BQ42" s="8">
        <f t="shared" si="27"/>
        <v>0</v>
      </c>
      <c r="BR42" s="8">
        <f t="shared" si="27"/>
        <v>0</v>
      </c>
      <c r="BS42" s="8">
        <f t="shared" si="27"/>
        <v>0</v>
      </c>
      <c r="BT42" s="8">
        <f t="shared" si="22"/>
        <v>0</v>
      </c>
      <c r="BU42" s="8">
        <f t="shared" si="22"/>
        <v>0</v>
      </c>
      <c r="BV42" s="8">
        <f t="shared" si="22"/>
        <v>0</v>
      </c>
      <c r="BW42" s="8">
        <f t="shared" si="22"/>
        <v>0</v>
      </c>
      <c r="BX42" s="8">
        <f t="shared" si="22"/>
        <v>0</v>
      </c>
      <c r="BY42" s="8">
        <f t="shared" si="22"/>
        <v>0</v>
      </c>
      <c r="BZ42" s="8">
        <f t="shared" si="22"/>
        <v>0</v>
      </c>
      <c r="CA42" s="8">
        <f t="shared" si="22"/>
        <v>0</v>
      </c>
      <c r="CB42" s="8">
        <f t="shared" si="22"/>
        <v>0</v>
      </c>
      <c r="CC42" s="8">
        <f t="shared" si="22"/>
        <v>0</v>
      </c>
      <c r="CD42" s="8">
        <f t="shared" si="28"/>
        <v>0</v>
      </c>
      <c r="CE42" s="8">
        <f t="shared" si="28"/>
        <v>0</v>
      </c>
      <c r="CF42" s="8">
        <f t="shared" si="28"/>
        <v>0</v>
      </c>
      <c r="CG42" s="8">
        <f t="shared" si="28"/>
        <v>0</v>
      </c>
      <c r="CH42" s="8">
        <f t="shared" si="28"/>
        <v>0</v>
      </c>
      <c r="CI42" s="8">
        <f t="shared" si="28"/>
        <v>0</v>
      </c>
      <c r="CJ42" s="8">
        <f t="shared" si="28"/>
        <v>0</v>
      </c>
      <c r="CK42" s="29">
        <f t="shared" si="28"/>
        <v>0</v>
      </c>
      <c r="CN42" s="8">
        <v>19.5</v>
      </c>
      <c r="CO42" s="16">
        <v>0.05</v>
      </c>
      <c r="CP42" s="16">
        <v>-1.3301794434502801E-2</v>
      </c>
      <c r="CQ42" s="16">
        <v>1.4371400624364114E-2</v>
      </c>
      <c r="CR42" s="16">
        <v>2.5461293294416359E-2</v>
      </c>
      <c r="CS42" s="16">
        <f t="shared" si="14"/>
        <v>7.6530899484277673E-2</v>
      </c>
    </row>
    <row r="43" spans="1:97" x14ac:dyDescent="0.45">
      <c r="A43" s="7"/>
      <c r="B43" s="57"/>
      <c r="C43" s="17"/>
      <c r="D43" s="17">
        <f t="shared" ref="D43:D66" si="30">SUMPRODUCT(L43:CK43,$L$249:$CK$249)</f>
        <v>0</v>
      </c>
      <c r="E43" s="17">
        <f t="shared" ref="E43:E66" si="31">+D43-C43</f>
        <v>0</v>
      </c>
      <c r="F43" s="17">
        <f t="shared" ref="F43:F66" si="32">ABS(C43-D43)</f>
        <v>0</v>
      </c>
      <c r="G43" s="18">
        <f t="shared" ref="G43:G66" si="33">+IFERROR(IRR(K43:CK43,0),0)</f>
        <v>0</v>
      </c>
      <c r="H43" s="18">
        <f>IFERROR(IRR((J43,L43:CK43),0),0)</f>
        <v>0</v>
      </c>
      <c r="I43" s="52">
        <f t="shared" ref="I43:I66" si="34">IFERROR(H43-G43,0)</f>
        <v>0</v>
      </c>
      <c r="J43" s="17">
        <f t="shared" ref="J43:J66" si="35">-D43</f>
        <v>0</v>
      </c>
      <c r="K43" s="28">
        <f t="shared" ref="K43:K66" si="36">-C43</f>
        <v>0</v>
      </c>
      <c r="L43" s="8">
        <f t="shared" si="29"/>
        <v>0</v>
      </c>
      <c r="M43" s="8">
        <f t="shared" si="29"/>
        <v>0</v>
      </c>
      <c r="N43" s="8">
        <f t="shared" si="29"/>
        <v>0</v>
      </c>
      <c r="O43" s="8">
        <f t="shared" si="29"/>
        <v>0</v>
      </c>
      <c r="P43" s="8">
        <f t="shared" si="29"/>
        <v>0</v>
      </c>
      <c r="Q43" s="8">
        <f t="shared" si="29"/>
        <v>0</v>
      </c>
      <c r="R43" s="8">
        <f t="shared" si="29"/>
        <v>0</v>
      </c>
      <c r="S43" s="8">
        <f t="shared" si="29"/>
        <v>0</v>
      </c>
      <c r="T43" s="8">
        <f t="shared" si="29"/>
        <v>0</v>
      </c>
      <c r="U43" s="8">
        <f t="shared" si="29"/>
        <v>0</v>
      </c>
      <c r="V43" s="8">
        <f t="shared" si="29"/>
        <v>0</v>
      </c>
      <c r="W43" s="8">
        <f t="shared" si="29"/>
        <v>0</v>
      </c>
      <c r="X43" s="8">
        <f t="shared" si="29"/>
        <v>0</v>
      </c>
      <c r="Y43" s="8">
        <f t="shared" si="29"/>
        <v>0</v>
      </c>
      <c r="Z43" s="8">
        <f t="shared" si="29"/>
        <v>0</v>
      </c>
      <c r="AA43" s="8">
        <f t="shared" si="29"/>
        <v>0</v>
      </c>
      <c r="AB43" s="8">
        <f t="shared" si="25"/>
        <v>0</v>
      </c>
      <c r="AC43" s="8">
        <f t="shared" si="25"/>
        <v>0</v>
      </c>
      <c r="AD43" s="8">
        <f t="shared" si="25"/>
        <v>0</v>
      </c>
      <c r="AE43" s="8">
        <f t="shared" si="25"/>
        <v>0</v>
      </c>
      <c r="AF43" s="8">
        <f t="shared" si="25"/>
        <v>0</v>
      </c>
      <c r="AG43" s="8">
        <f t="shared" si="25"/>
        <v>0</v>
      </c>
      <c r="AH43" s="8">
        <f t="shared" si="25"/>
        <v>0</v>
      </c>
      <c r="AI43" s="8">
        <f t="shared" si="25"/>
        <v>0</v>
      </c>
      <c r="AJ43" s="8">
        <f t="shared" si="25"/>
        <v>0</v>
      </c>
      <c r="AK43" s="8">
        <f t="shared" si="25"/>
        <v>0</v>
      </c>
      <c r="AL43" s="8">
        <f t="shared" si="25"/>
        <v>0</v>
      </c>
      <c r="AM43" s="8">
        <f t="shared" si="25"/>
        <v>0</v>
      </c>
      <c r="AN43" s="8">
        <f t="shared" si="25"/>
        <v>0</v>
      </c>
      <c r="AO43" s="8">
        <f t="shared" si="25"/>
        <v>0</v>
      </c>
      <c r="AP43" s="8">
        <f t="shared" si="26"/>
        <v>0</v>
      </c>
      <c r="AQ43" s="8">
        <f t="shared" si="26"/>
        <v>0</v>
      </c>
      <c r="AR43" s="8">
        <f t="shared" si="26"/>
        <v>0</v>
      </c>
      <c r="AS43" s="8">
        <f t="shared" si="26"/>
        <v>0</v>
      </c>
      <c r="AT43" s="8">
        <f t="shared" si="26"/>
        <v>0</v>
      </c>
      <c r="AU43" s="8">
        <f t="shared" si="26"/>
        <v>0</v>
      </c>
      <c r="AV43" s="8">
        <f t="shared" si="26"/>
        <v>0</v>
      </c>
      <c r="AW43" s="8">
        <f t="shared" si="26"/>
        <v>0</v>
      </c>
      <c r="AX43" s="8">
        <f t="shared" si="26"/>
        <v>0</v>
      </c>
      <c r="AY43" s="8">
        <f t="shared" si="26"/>
        <v>0</v>
      </c>
      <c r="AZ43" s="8">
        <f t="shared" si="21"/>
        <v>0</v>
      </c>
      <c r="BA43" s="8">
        <f t="shared" si="21"/>
        <v>0</v>
      </c>
      <c r="BB43" s="8">
        <f t="shared" si="21"/>
        <v>0</v>
      </c>
      <c r="BC43" s="8">
        <f t="shared" si="21"/>
        <v>0</v>
      </c>
      <c r="BD43" s="8">
        <f t="shared" si="21"/>
        <v>0</v>
      </c>
      <c r="BE43" s="8">
        <f t="shared" si="21"/>
        <v>0</v>
      </c>
      <c r="BF43" s="8">
        <f t="shared" si="21"/>
        <v>0</v>
      </c>
      <c r="BG43" s="8">
        <f t="shared" si="21"/>
        <v>0</v>
      </c>
      <c r="BH43" s="8">
        <f t="shared" si="27"/>
        <v>0</v>
      </c>
      <c r="BI43" s="8">
        <f t="shared" si="27"/>
        <v>0</v>
      </c>
      <c r="BJ43" s="8">
        <f t="shared" si="27"/>
        <v>0</v>
      </c>
      <c r="BK43" s="8">
        <f t="shared" si="27"/>
        <v>0</v>
      </c>
      <c r="BL43" s="8">
        <f t="shared" si="27"/>
        <v>0</v>
      </c>
      <c r="BM43" s="8">
        <f t="shared" si="27"/>
        <v>0</v>
      </c>
      <c r="BN43" s="8">
        <f t="shared" si="27"/>
        <v>0</v>
      </c>
      <c r="BO43" s="8">
        <f t="shared" si="27"/>
        <v>0</v>
      </c>
      <c r="BP43" s="8">
        <f t="shared" si="27"/>
        <v>0</v>
      </c>
      <c r="BQ43" s="8">
        <f t="shared" si="27"/>
        <v>0</v>
      </c>
      <c r="BR43" s="8">
        <f t="shared" si="27"/>
        <v>0</v>
      </c>
      <c r="BS43" s="8">
        <f t="shared" si="27"/>
        <v>0</v>
      </c>
      <c r="BT43" s="8">
        <f t="shared" si="22"/>
        <v>0</v>
      </c>
      <c r="BU43" s="8">
        <f t="shared" si="22"/>
        <v>0</v>
      </c>
      <c r="BV43" s="8">
        <f t="shared" si="22"/>
        <v>0</v>
      </c>
      <c r="BW43" s="8">
        <f t="shared" si="22"/>
        <v>0</v>
      </c>
      <c r="BX43" s="8">
        <f t="shared" si="22"/>
        <v>0</v>
      </c>
      <c r="BY43" s="8">
        <f t="shared" si="22"/>
        <v>0</v>
      </c>
      <c r="BZ43" s="8">
        <f t="shared" si="22"/>
        <v>0</v>
      </c>
      <c r="CA43" s="8">
        <f t="shared" si="22"/>
        <v>0</v>
      </c>
      <c r="CB43" s="8">
        <f t="shared" si="22"/>
        <v>0</v>
      </c>
      <c r="CC43" s="8">
        <f t="shared" si="22"/>
        <v>0</v>
      </c>
      <c r="CD43" s="8">
        <f t="shared" si="28"/>
        <v>0</v>
      </c>
      <c r="CE43" s="8">
        <f t="shared" si="28"/>
        <v>0</v>
      </c>
      <c r="CF43" s="8">
        <f t="shared" si="28"/>
        <v>0</v>
      </c>
      <c r="CG43" s="8">
        <f t="shared" si="28"/>
        <v>0</v>
      </c>
      <c r="CH43" s="8">
        <f t="shared" si="28"/>
        <v>0</v>
      </c>
      <c r="CI43" s="8">
        <f t="shared" si="28"/>
        <v>0</v>
      </c>
      <c r="CJ43" s="8">
        <f t="shared" si="28"/>
        <v>0</v>
      </c>
      <c r="CK43" s="29">
        <f t="shared" si="28"/>
        <v>0</v>
      </c>
      <c r="CN43" s="8">
        <v>20</v>
      </c>
      <c r="CO43" s="16">
        <v>0.05</v>
      </c>
      <c r="CP43" s="16">
        <v>-1.3149469303540473E-2</v>
      </c>
      <c r="CQ43" s="16">
        <v>1.4492716296999188E-2</v>
      </c>
      <c r="CR43" s="16">
        <v>2.5908279864716405E-2</v>
      </c>
      <c r="CS43" s="16">
        <f t="shared" si="14"/>
        <v>7.7251526858175115E-2</v>
      </c>
    </row>
    <row r="44" spans="1:97" x14ac:dyDescent="0.45">
      <c r="A44" s="7"/>
      <c r="B44" s="57"/>
      <c r="C44" s="17"/>
      <c r="D44" s="17">
        <f t="shared" si="30"/>
        <v>0</v>
      </c>
      <c r="E44" s="17">
        <f t="shared" si="31"/>
        <v>0</v>
      </c>
      <c r="F44" s="17">
        <f t="shared" si="32"/>
        <v>0</v>
      </c>
      <c r="G44" s="18">
        <f t="shared" si="33"/>
        <v>0</v>
      </c>
      <c r="H44" s="18">
        <f>IFERROR(IRR((J44,L44:CK44),0),0)</f>
        <v>0</v>
      </c>
      <c r="I44" s="52">
        <f t="shared" si="34"/>
        <v>0</v>
      </c>
      <c r="J44" s="17">
        <f t="shared" si="35"/>
        <v>0</v>
      </c>
      <c r="K44" s="28">
        <f t="shared" si="36"/>
        <v>0</v>
      </c>
      <c r="L44" s="8">
        <f t="shared" si="29"/>
        <v>0</v>
      </c>
      <c r="M44" s="8">
        <f t="shared" si="29"/>
        <v>0</v>
      </c>
      <c r="N44" s="8">
        <f t="shared" si="29"/>
        <v>0</v>
      </c>
      <c r="O44" s="8">
        <f t="shared" si="29"/>
        <v>0</v>
      </c>
      <c r="P44" s="8">
        <f t="shared" si="29"/>
        <v>0</v>
      </c>
      <c r="Q44" s="8">
        <f t="shared" si="29"/>
        <v>0</v>
      </c>
      <c r="R44" s="8">
        <f t="shared" si="29"/>
        <v>0</v>
      </c>
      <c r="S44" s="8">
        <f t="shared" si="29"/>
        <v>0</v>
      </c>
      <c r="T44" s="8">
        <f t="shared" si="29"/>
        <v>0</v>
      </c>
      <c r="U44" s="8">
        <f t="shared" si="29"/>
        <v>0</v>
      </c>
      <c r="V44" s="8">
        <f t="shared" si="29"/>
        <v>0</v>
      </c>
      <c r="W44" s="8">
        <f t="shared" si="29"/>
        <v>0</v>
      </c>
      <c r="X44" s="8">
        <f t="shared" si="29"/>
        <v>0</v>
      </c>
      <c r="Y44" s="8">
        <f t="shared" si="29"/>
        <v>0</v>
      </c>
      <c r="Z44" s="8">
        <f t="shared" si="29"/>
        <v>0</v>
      </c>
      <c r="AA44" s="8">
        <f t="shared" si="29"/>
        <v>0</v>
      </c>
      <c r="AB44" s="8">
        <f t="shared" si="25"/>
        <v>0</v>
      </c>
      <c r="AC44" s="8">
        <f t="shared" si="25"/>
        <v>0</v>
      </c>
      <c r="AD44" s="8">
        <f t="shared" si="25"/>
        <v>0</v>
      </c>
      <c r="AE44" s="8">
        <f t="shared" si="25"/>
        <v>0</v>
      </c>
      <c r="AF44" s="8">
        <f t="shared" si="25"/>
        <v>0</v>
      </c>
      <c r="AG44" s="8">
        <f t="shared" si="25"/>
        <v>0</v>
      </c>
      <c r="AH44" s="8">
        <f t="shared" si="25"/>
        <v>0</v>
      </c>
      <c r="AI44" s="8">
        <f t="shared" si="25"/>
        <v>0</v>
      </c>
      <c r="AJ44" s="8">
        <f t="shared" si="25"/>
        <v>0</v>
      </c>
      <c r="AK44" s="8">
        <f t="shared" si="25"/>
        <v>0</v>
      </c>
      <c r="AL44" s="8">
        <f t="shared" si="25"/>
        <v>0</v>
      </c>
      <c r="AM44" s="8">
        <f t="shared" si="25"/>
        <v>0</v>
      </c>
      <c r="AN44" s="8">
        <f t="shared" si="25"/>
        <v>0</v>
      </c>
      <c r="AO44" s="8">
        <f t="shared" si="25"/>
        <v>0</v>
      </c>
      <c r="AP44" s="8">
        <f t="shared" si="26"/>
        <v>0</v>
      </c>
      <c r="AQ44" s="8">
        <f t="shared" si="26"/>
        <v>0</v>
      </c>
      <c r="AR44" s="8">
        <f t="shared" si="26"/>
        <v>0</v>
      </c>
      <c r="AS44" s="8">
        <f t="shared" si="26"/>
        <v>0</v>
      </c>
      <c r="AT44" s="8">
        <f t="shared" si="26"/>
        <v>0</v>
      </c>
      <c r="AU44" s="8">
        <f t="shared" si="26"/>
        <v>0</v>
      </c>
      <c r="AV44" s="8">
        <f t="shared" si="26"/>
        <v>0</v>
      </c>
      <c r="AW44" s="8">
        <f t="shared" si="26"/>
        <v>0</v>
      </c>
      <c r="AX44" s="8">
        <f t="shared" si="26"/>
        <v>0</v>
      </c>
      <c r="AY44" s="8">
        <f t="shared" si="26"/>
        <v>0</v>
      </c>
      <c r="AZ44" s="8">
        <f t="shared" si="21"/>
        <v>0</v>
      </c>
      <c r="BA44" s="8">
        <f t="shared" si="21"/>
        <v>0</v>
      </c>
      <c r="BB44" s="8">
        <f t="shared" si="21"/>
        <v>0</v>
      </c>
      <c r="BC44" s="8">
        <f t="shared" si="21"/>
        <v>0</v>
      </c>
      <c r="BD44" s="8">
        <f t="shared" si="21"/>
        <v>0</v>
      </c>
      <c r="BE44" s="8">
        <f t="shared" si="21"/>
        <v>0</v>
      </c>
      <c r="BF44" s="8">
        <f t="shared" si="21"/>
        <v>0</v>
      </c>
      <c r="BG44" s="8">
        <f t="shared" si="21"/>
        <v>0</v>
      </c>
      <c r="BH44" s="8">
        <f t="shared" si="27"/>
        <v>0</v>
      </c>
      <c r="BI44" s="8">
        <f t="shared" si="27"/>
        <v>0</v>
      </c>
      <c r="BJ44" s="8">
        <f t="shared" si="27"/>
        <v>0</v>
      </c>
      <c r="BK44" s="8">
        <f t="shared" si="27"/>
        <v>0</v>
      </c>
      <c r="BL44" s="8">
        <f t="shared" si="27"/>
        <v>0</v>
      </c>
      <c r="BM44" s="8">
        <f t="shared" si="27"/>
        <v>0</v>
      </c>
      <c r="BN44" s="8">
        <f t="shared" si="27"/>
        <v>0</v>
      </c>
      <c r="BO44" s="8">
        <f t="shared" si="27"/>
        <v>0</v>
      </c>
      <c r="BP44" s="8">
        <f t="shared" si="27"/>
        <v>0</v>
      </c>
      <c r="BQ44" s="8">
        <f t="shared" si="27"/>
        <v>0</v>
      </c>
      <c r="BR44" s="8">
        <f t="shared" si="27"/>
        <v>0</v>
      </c>
      <c r="BS44" s="8">
        <f t="shared" si="27"/>
        <v>0</v>
      </c>
      <c r="BT44" s="8">
        <f t="shared" si="22"/>
        <v>0</v>
      </c>
      <c r="BU44" s="8">
        <f t="shared" si="22"/>
        <v>0</v>
      </c>
      <c r="BV44" s="8">
        <f t="shared" si="22"/>
        <v>0</v>
      </c>
      <c r="BW44" s="8">
        <f t="shared" si="22"/>
        <v>0</v>
      </c>
      <c r="BX44" s="8">
        <f t="shared" si="22"/>
        <v>0</v>
      </c>
      <c r="BY44" s="8">
        <f t="shared" si="22"/>
        <v>0</v>
      </c>
      <c r="BZ44" s="8">
        <f t="shared" si="22"/>
        <v>0</v>
      </c>
      <c r="CA44" s="8">
        <f t="shared" si="22"/>
        <v>0</v>
      </c>
      <c r="CB44" s="8">
        <f t="shared" si="22"/>
        <v>0</v>
      </c>
      <c r="CC44" s="8">
        <f t="shared" si="22"/>
        <v>0</v>
      </c>
      <c r="CD44" s="8">
        <f t="shared" si="28"/>
        <v>0</v>
      </c>
      <c r="CE44" s="8">
        <f t="shared" si="28"/>
        <v>0</v>
      </c>
      <c r="CF44" s="8">
        <f t="shared" si="28"/>
        <v>0</v>
      </c>
      <c r="CG44" s="8">
        <f t="shared" si="28"/>
        <v>0</v>
      </c>
      <c r="CH44" s="8">
        <f t="shared" si="28"/>
        <v>0</v>
      </c>
      <c r="CI44" s="8">
        <f t="shared" si="28"/>
        <v>0</v>
      </c>
      <c r="CJ44" s="8">
        <f t="shared" si="28"/>
        <v>0</v>
      </c>
      <c r="CK44" s="29">
        <f t="shared" si="28"/>
        <v>0</v>
      </c>
      <c r="CN44" s="8">
        <v>20.5</v>
      </c>
      <c r="CO44" s="16">
        <v>0.05</v>
      </c>
      <c r="CP44" s="16">
        <v>-1.2999694914790768E-2</v>
      </c>
      <c r="CQ44" s="16">
        <v>1.4606642648673408E-2</v>
      </c>
      <c r="CR44" s="16">
        <v>2.6346875183925495E-2</v>
      </c>
      <c r="CS44" s="16">
        <f t="shared" si="14"/>
        <v>7.7953822917808141E-2</v>
      </c>
    </row>
    <row r="45" spans="1:97" x14ac:dyDescent="0.45">
      <c r="A45" s="7"/>
      <c r="B45" s="57"/>
      <c r="C45" s="17"/>
      <c r="D45" s="17">
        <f t="shared" si="30"/>
        <v>0</v>
      </c>
      <c r="E45" s="17">
        <f t="shared" si="31"/>
        <v>0</v>
      </c>
      <c r="F45" s="17">
        <f t="shared" si="32"/>
        <v>0</v>
      </c>
      <c r="G45" s="18">
        <f t="shared" si="33"/>
        <v>0</v>
      </c>
      <c r="H45" s="18">
        <f>IFERROR(IRR((J45,L45:CK45),0),0)</f>
        <v>0</v>
      </c>
      <c r="I45" s="52">
        <f t="shared" si="34"/>
        <v>0</v>
      </c>
      <c r="J45" s="17">
        <f t="shared" si="35"/>
        <v>0</v>
      </c>
      <c r="K45" s="28">
        <f t="shared" si="36"/>
        <v>0</v>
      </c>
      <c r="L45" s="8">
        <f t="shared" si="29"/>
        <v>0</v>
      </c>
      <c r="M45" s="8">
        <f t="shared" si="29"/>
        <v>0</v>
      </c>
      <c r="N45" s="8">
        <f t="shared" si="29"/>
        <v>0</v>
      </c>
      <c r="O45" s="8">
        <f t="shared" si="29"/>
        <v>0</v>
      </c>
      <c r="P45" s="8">
        <f t="shared" si="29"/>
        <v>0</v>
      </c>
      <c r="Q45" s="8">
        <f t="shared" si="29"/>
        <v>0</v>
      </c>
      <c r="R45" s="8">
        <f t="shared" si="29"/>
        <v>0</v>
      </c>
      <c r="S45" s="8">
        <f t="shared" si="29"/>
        <v>0</v>
      </c>
      <c r="T45" s="8">
        <f t="shared" si="29"/>
        <v>0</v>
      </c>
      <c r="U45" s="8">
        <f t="shared" si="29"/>
        <v>0</v>
      </c>
      <c r="V45" s="8">
        <f t="shared" si="29"/>
        <v>0</v>
      </c>
      <c r="W45" s="8">
        <f t="shared" si="29"/>
        <v>0</v>
      </c>
      <c r="X45" s="8">
        <f t="shared" si="29"/>
        <v>0</v>
      </c>
      <c r="Y45" s="8">
        <f t="shared" si="29"/>
        <v>0</v>
      </c>
      <c r="Z45" s="8">
        <f t="shared" si="29"/>
        <v>0</v>
      </c>
      <c r="AA45" s="8">
        <f t="shared" si="29"/>
        <v>0</v>
      </c>
      <c r="AB45" s="8">
        <f t="shared" si="25"/>
        <v>0</v>
      </c>
      <c r="AC45" s="8">
        <f t="shared" si="25"/>
        <v>0</v>
      </c>
      <c r="AD45" s="8">
        <f t="shared" si="25"/>
        <v>0</v>
      </c>
      <c r="AE45" s="8">
        <f t="shared" si="25"/>
        <v>0</v>
      </c>
      <c r="AF45" s="8">
        <f t="shared" si="25"/>
        <v>0</v>
      </c>
      <c r="AG45" s="8">
        <f t="shared" si="25"/>
        <v>0</v>
      </c>
      <c r="AH45" s="8">
        <f t="shared" si="25"/>
        <v>0</v>
      </c>
      <c r="AI45" s="8">
        <f t="shared" si="25"/>
        <v>0</v>
      </c>
      <c r="AJ45" s="8">
        <f t="shared" si="25"/>
        <v>0</v>
      </c>
      <c r="AK45" s="8">
        <f t="shared" si="25"/>
        <v>0</v>
      </c>
      <c r="AL45" s="8">
        <f t="shared" si="25"/>
        <v>0</v>
      </c>
      <c r="AM45" s="8">
        <f t="shared" si="25"/>
        <v>0</v>
      </c>
      <c r="AN45" s="8">
        <f t="shared" si="25"/>
        <v>0</v>
      </c>
      <c r="AO45" s="8">
        <f t="shared" si="25"/>
        <v>0</v>
      </c>
      <c r="AP45" s="8">
        <f t="shared" si="26"/>
        <v>0</v>
      </c>
      <c r="AQ45" s="8">
        <f t="shared" si="26"/>
        <v>0</v>
      </c>
      <c r="AR45" s="8">
        <f t="shared" si="26"/>
        <v>0</v>
      </c>
      <c r="AS45" s="8">
        <f t="shared" si="26"/>
        <v>0</v>
      </c>
      <c r="AT45" s="8">
        <f t="shared" si="26"/>
        <v>0</v>
      </c>
      <c r="AU45" s="8">
        <f t="shared" si="26"/>
        <v>0</v>
      </c>
      <c r="AV45" s="8">
        <f t="shared" si="26"/>
        <v>0</v>
      </c>
      <c r="AW45" s="8">
        <f t="shared" si="26"/>
        <v>0</v>
      </c>
      <c r="AX45" s="8">
        <f t="shared" si="26"/>
        <v>0</v>
      </c>
      <c r="AY45" s="8">
        <f t="shared" si="26"/>
        <v>0</v>
      </c>
      <c r="AZ45" s="8">
        <f t="shared" si="21"/>
        <v>0</v>
      </c>
      <c r="BA45" s="8">
        <f t="shared" si="21"/>
        <v>0</v>
      </c>
      <c r="BB45" s="8">
        <f t="shared" si="21"/>
        <v>0</v>
      </c>
      <c r="BC45" s="8">
        <f t="shared" si="21"/>
        <v>0</v>
      </c>
      <c r="BD45" s="8">
        <f t="shared" si="21"/>
        <v>0</v>
      </c>
      <c r="BE45" s="8">
        <f t="shared" si="21"/>
        <v>0</v>
      </c>
      <c r="BF45" s="8">
        <f t="shared" si="21"/>
        <v>0</v>
      </c>
      <c r="BG45" s="8">
        <f t="shared" si="21"/>
        <v>0</v>
      </c>
      <c r="BH45" s="8">
        <f t="shared" si="27"/>
        <v>0</v>
      </c>
      <c r="BI45" s="8">
        <f t="shared" si="27"/>
        <v>0</v>
      </c>
      <c r="BJ45" s="8">
        <f t="shared" si="27"/>
        <v>0</v>
      </c>
      <c r="BK45" s="8">
        <f t="shared" si="27"/>
        <v>0</v>
      </c>
      <c r="BL45" s="8">
        <f t="shared" si="27"/>
        <v>0</v>
      </c>
      <c r="BM45" s="8">
        <f t="shared" si="27"/>
        <v>0</v>
      </c>
      <c r="BN45" s="8">
        <f t="shared" si="27"/>
        <v>0</v>
      </c>
      <c r="BO45" s="8">
        <f t="shared" si="27"/>
        <v>0</v>
      </c>
      <c r="BP45" s="8">
        <f t="shared" si="27"/>
        <v>0</v>
      </c>
      <c r="BQ45" s="8">
        <f t="shared" si="27"/>
        <v>0</v>
      </c>
      <c r="BR45" s="8">
        <f t="shared" si="27"/>
        <v>0</v>
      </c>
      <c r="BS45" s="8">
        <f t="shared" si="27"/>
        <v>0</v>
      </c>
      <c r="BT45" s="8">
        <f t="shared" si="22"/>
        <v>0</v>
      </c>
      <c r="BU45" s="8">
        <f t="shared" si="22"/>
        <v>0</v>
      </c>
      <c r="BV45" s="8">
        <f t="shared" si="22"/>
        <v>0</v>
      </c>
      <c r="BW45" s="8">
        <f t="shared" si="22"/>
        <v>0</v>
      </c>
      <c r="BX45" s="8">
        <f t="shared" si="22"/>
        <v>0</v>
      </c>
      <c r="BY45" s="8">
        <f t="shared" si="22"/>
        <v>0</v>
      </c>
      <c r="BZ45" s="8">
        <f t="shared" si="22"/>
        <v>0</v>
      </c>
      <c r="CA45" s="8">
        <f t="shared" si="22"/>
        <v>0</v>
      </c>
      <c r="CB45" s="8">
        <f t="shared" si="22"/>
        <v>0</v>
      </c>
      <c r="CC45" s="8">
        <f t="shared" si="22"/>
        <v>0</v>
      </c>
      <c r="CD45" s="8">
        <f t="shared" si="28"/>
        <v>0</v>
      </c>
      <c r="CE45" s="8">
        <f t="shared" si="28"/>
        <v>0</v>
      </c>
      <c r="CF45" s="8">
        <f t="shared" si="28"/>
        <v>0</v>
      </c>
      <c r="CG45" s="8">
        <f t="shared" si="28"/>
        <v>0</v>
      </c>
      <c r="CH45" s="8">
        <f t="shared" si="28"/>
        <v>0</v>
      </c>
      <c r="CI45" s="8">
        <f t="shared" si="28"/>
        <v>0</v>
      </c>
      <c r="CJ45" s="8">
        <f t="shared" si="28"/>
        <v>0</v>
      </c>
      <c r="CK45" s="29">
        <f t="shared" si="28"/>
        <v>0</v>
      </c>
      <c r="CN45" s="8">
        <v>21</v>
      </c>
      <c r="CO45" s="16">
        <v>0.05</v>
      </c>
      <c r="CP45" s="16">
        <v>-1.2852421278512187E-2</v>
      </c>
      <c r="CQ45" s="16">
        <v>1.4713434660725958E-2</v>
      </c>
      <c r="CR45" s="16">
        <v>2.6777199541384463E-2</v>
      </c>
      <c r="CS45" s="16">
        <f t="shared" si="14"/>
        <v>7.8638212923598239E-2</v>
      </c>
    </row>
    <row r="46" spans="1:97" x14ac:dyDescent="0.45">
      <c r="A46" s="7"/>
      <c r="B46" s="57"/>
      <c r="C46" s="17"/>
      <c r="D46" s="17">
        <f t="shared" si="30"/>
        <v>0</v>
      </c>
      <c r="E46" s="17">
        <f t="shared" si="31"/>
        <v>0</v>
      </c>
      <c r="F46" s="17">
        <f t="shared" si="32"/>
        <v>0</v>
      </c>
      <c r="G46" s="18">
        <f t="shared" si="33"/>
        <v>0</v>
      </c>
      <c r="H46" s="18">
        <f>IFERROR(IRR((J46,L46:CK46),0),0)</f>
        <v>0</v>
      </c>
      <c r="I46" s="52">
        <f t="shared" si="34"/>
        <v>0</v>
      </c>
      <c r="J46" s="17">
        <f t="shared" si="35"/>
        <v>0</v>
      </c>
      <c r="K46" s="28">
        <f t="shared" si="36"/>
        <v>0</v>
      </c>
      <c r="L46" s="8">
        <f t="shared" si="29"/>
        <v>0</v>
      </c>
      <c r="M46" s="8">
        <f t="shared" si="29"/>
        <v>0</v>
      </c>
      <c r="N46" s="8">
        <f t="shared" si="29"/>
        <v>0</v>
      </c>
      <c r="O46" s="8">
        <f t="shared" si="29"/>
        <v>0</v>
      </c>
      <c r="P46" s="8">
        <f t="shared" si="29"/>
        <v>0</v>
      </c>
      <c r="Q46" s="8">
        <f t="shared" si="29"/>
        <v>0</v>
      </c>
      <c r="R46" s="8">
        <f t="shared" si="29"/>
        <v>0</v>
      </c>
      <c r="S46" s="8">
        <f t="shared" si="29"/>
        <v>0</v>
      </c>
      <c r="T46" s="8">
        <f t="shared" si="29"/>
        <v>0</v>
      </c>
      <c r="U46" s="8">
        <f t="shared" si="29"/>
        <v>0</v>
      </c>
      <c r="V46" s="8">
        <f t="shared" si="29"/>
        <v>0</v>
      </c>
      <c r="W46" s="8">
        <f t="shared" si="29"/>
        <v>0</v>
      </c>
      <c r="X46" s="8">
        <f t="shared" si="29"/>
        <v>0</v>
      </c>
      <c r="Y46" s="8">
        <f t="shared" si="29"/>
        <v>0</v>
      </c>
      <c r="Z46" s="8">
        <f t="shared" si="29"/>
        <v>0</v>
      </c>
      <c r="AA46" s="8">
        <f t="shared" si="29"/>
        <v>0</v>
      </c>
      <c r="AB46" s="8">
        <f t="shared" si="25"/>
        <v>0</v>
      </c>
      <c r="AC46" s="8">
        <f t="shared" si="25"/>
        <v>0</v>
      </c>
      <c r="AD46" s="8">
        <f t="shared" si="25"/>
        <v>0</v>
      </c>
      <c r="AE46" s="8">
        <f t="shared" si="25"/>
        <v>0</v>
      </c>
      <c r="AF46" s="8">
        <f t="shared" si="25"/>
        <v>0</v>
      </c>
      <c r="AG46" s="8">
        <f t="shared" si="25"/>
        <v>0</v>
      </c>
      <c r="AH46" s="8">
        <f t="shared" si="25"/>
        <v>0</v>
      </c>
      <c r="AI46" s="8">
        <f t="shared" si="25"/>
        <v>0</v>
      </c>
      <c r="AJ46" s="8">
        <f t="shared" si="25"/>
        <v>0</v>
      </c>
      <c r="AK46" s="8">
        <f t="shared" si="25"/>
        <v>0</v>
      </c>
      <c r="AL46" s="8">
        <f t="shared" si="25"/>
        <v>0</v>
      </c>
      <c r="AM46" s="8">
        <f t="shared" si="25"/>
        <v>0</v>
      </c>
      <c r="AN46" s="8">
        <f t="shared" si="25"/>
        <v>0</v>
      </c>
      <c r="AO46" s="8">
        <f t="shared" si="25"/>
        <v>0</v>
      </c>
      <c r="AP46" s="8">
        <f t="shared" si="26"/>
        <v>0</v>
      </c>
      <c r="AQ46" s="8">
        <f t="shared" si="26"/>
        <v>0</v>
      </c>
      <c r="AR46" s="8">
        <f t="shared" si="26"/>
        <v>0</v>
      </c>
      <c r="AS46" s="8">
        <f t="shared" si="26"/>
        <v>0</v>
      </c>
      <c r="AT46" s="8">
        <f t="shared" si="26"/>
        <v>0</v>
      </c>
      <c r="AU46" s="8">
        <f t="shared" si="26"/>
        <v>0</v>
      </c>
      <c r="AV46" s="8">
        <f t="shared" si="26"/>
        <v>0</v>
      </c>
      <c r="AW46" s="8">
        <f t="shared" si="26"/>
        <v>0</v>
      </c>
      <c r="AX46" s="8">
        <f t="shared" si="26"/>
        <v>0</v>
      </c>
      <c r="AY46" s="8">
        <f t="shared" si="26"/>
        <v>0</v>
      </c>
      <c r="AZ46" s="8">
        <f t="shared" si="21"/>
        <v>0</v>
      </c>
      <c r="BA46" s="8">
        <f t="shared" si="21"/>
        <v>0</v>
      </c>
      <c r="BB46" s="8">
        <f t="shared" si="21"/>
        <v>0</v>
      </c>
      <c r="BC46" s="8">
        <f t="shared" si="21"/>
        <v>0</v>
      </c>
      <c r="BD46" s="8">
        <f t="shared" si="21"/>
        <v>0</v>
      </c>
      <c r="BE46" s="8">
        <f t="shared" si="21"/>
        <v>0</v>
      </c>
      <c r="BF46" s="8">
        <f t="shared" si="21"/>
        <v>0</v>
      </c>
      <c r="BG46" s="8">
        <f t="shared" si="21"/>
        <v>0</v>
      </c>
      <c r="BH46" s="8">
        <f t="shared" si="27"/>
        <v>0</v>
      </c>
      <c r="BI46" s="8">
        <f t="shared" si="27"/>
        <v>0</v>
      </c>
      <c r="BJ46" s="8">
        <f t="shared" si="27"/>
        <v>0</v>
      </c>
      <c r="BK46" s="8">
        <f t="shared" si="27"/>
        <v>0</v>
      </c>
      <c r="BL46" s="8">
        <f t="shared" si="27"/>
        <v>0</v>
      </c>
      <c r="BM46" s="8">
        <f t="shared" si="27"/>
        <v>0</v>
      </c>
      <c r="BN46" s="8">
        <f t="shared" si="27"/>
        <v>0</v>
      </c>
      <c r="BO46" s="8">
        <f t="shared" si="27"/>
        <v>0</v>
      </c>
      <c r="BP46" s="8">
        <f t="shared" si="27"/>
        <v>0</v>
      </c>
      <c r="BQ46" s="8">
        <f t="shared" si="27"/>
        <v>0</v>
      </c>
      <c r="BR46" s="8">
        <f t="shared" si="27"/>
        <v>0</v>
      </c>
      <c r="BS46" s="8">
        <f t="shared" si="27"/>
        <v>0</v>
      </c>
      <c r="BT46" s="8">
        <f t="shared" si="22"/>
        <v>0</v>
      </c>
      <c r="BU46" s="8">
        <f t="shared" si="22"/>
        <v>0</v>
      </c>
      <c r="BV46" s="8">
        <f t="shared" si="22"/>
        <v>0</v>
      </c>
      <c r="BW46" s="8">
        <f t="shared" si="22"/>
        <v>0</v>
      </c>
      <c r="BX46" s="8">
        <f t="shared" si="22"/>
        <v>0</v>
      </c>
      <c r="BY46" s="8">
        <f t="shared" si="22"/>
        <v>0</v>
      </c>
      <c r="BZ46" s="8">
        <f t="shared" si="22"/>
        <v>0</v>
      </c>
      <c r="CA46" s="8">
        <f t="shared" si="22"/>
        <v>0</v>
      </c>
      <c r="CB46" s="8">
        <f t="shared" si="22"/>
        <v>0</v>
      </c>
      <c r="CC46" s="8">
        <f t="shared" si="22"/>
        <v>0</v>
      </c>
      <c r="CD46" s="8">
        <f t="shared" si="28"/>
        <v>0</v>
      </c>
      <c r="CE46" s="8">
        <f t="shared" si="28"/>
        <v>0</v>
      </c>
      <c r="CF46" s="8">
        <f t="shared" si="28"/>
        <v>0</v>
      </c>
      <c r="CG46" s="8">
        <f t="shared" si="28"/>
        <v>0</v>
      </c>
      <c r="CH46" s="8">
        <f t="shared" si="28"/>
        <v>0</v>
      </c>
      <c r="CI46" s="8">
        <f t="shared" si="28"/>
        <v>0</v>
      </c>
      <c r="CJ46" s="8">
        <f t="shared" si="28"/>
        <v>0</v>
      </c>
      <c r="CK46" s="29">
        <f t="shared" si="28"/>
        <v>0</v>
      </c>
      <c r="CN46" s="8">
        <v>21.5</v>
      </c>
      <c r="CO46" s="16">
        <v>0.05</v>
      </c>
      <c r="CP46" s="16">
        <v>-1.2707599471306182E-2</v>
      </c>
      <c r="CQ46" s="16">
        <v>1.4813339467706774E-2</v>
      </c>
      <c r="CR46" s="16">
        <v>2.7199371623682491E-2</v>
      </c>
      <c r="CS46" s="16">
        <f t="shared" si="14"/>
        <v>7.9305111620083094E-2</v>
      </c>
    </row>
    <row r="47" spans="1:97" x14ac:dyDescent="0.45">
      <c r="A47" s="7"/>
      <c r="B47" s="57"/>
      <c r="C47" s="17"/>
      <c r="D47" s="17">
        <f t="shared" si="30"/>
        <v>0</v>
      </c>
      <c r="E47" s="17">
        <f t="shared" si="31"/>
        <v>0</v>
      </c>
      <c r="F47" s="17">
        <f t="shared" si="32"/>
        <v>0</v>
      </c>
      <c r="G47" s="18">
        <f t="shared" si="33"/>
        <v>0</v>
      </c>
      <c r="H47" s="18">
        <f>IFERROR(IRR((J47,L47:CK47),0),0)</f>
        <v>0</v>
      </c>
      <c r="I47" s="52">
        <f t="shared" si="34"/>
        <v>0</v>
      </c>
      <c r="J47" s="17">
        <f t="shared" si="35"/>
        <v>0</v>
      </c>
      <c r="K47" s="28">
        <f t="shared" si="36"/>
        <v>0</v>
      </c>
      <c r="L47" s="8">
        <f t="shared" si="29"/>
        <v>0</v>
      </c>
      <c r="M47" s="8">
        <f t="shared" si="29"/>
        <v>0</v>
      </c>
      <c r="N47" s="8">
        <f t="shared" si="29"/>
        <v>0</v>
      </c>
      <c r="O47" s="8">
        <f t="shared" si="29"/>
        <v>0</v>
      </c>
      <c r="P47" s="8">
        <f t="shared" si="29"/>
        <v>0</v>
      </c>
      <c r="Q47" s="8">
        <f t="shared" si="29"/>
        <v>0</v>
      </c>
      <c r="R47" s="8">
        <f t="shared" si="29"/>
        <v>0</v>
      </c>
      <c r="S47" s="8">
        <f t="shared" si="29"/>
        <v>0</v>
      </c>
      <c r="T47" s="8">
        <f t="shared" si="29"/>
        <v>0</v>
      </c>
      <c r="U47" s="8">
        <f t="shared" si="29"/>
        <v>0</v>
      </c>
      <c r="V47" s="8">
        <f t="shared" si="29"/>
        <v>0</v>
      </c>
      <c r="W47" s="8">
        <f t="shared" si="29"/>
        <v>0</v>
      </c>
      <c r="X47" s="8">
        <f t="shared" si="29"/>
        <v>0</v>
      </c>
      <c r="Y47" s="8">
        <f t="shared" si="29"/>
        <v>0</v>
      </c>
      <c r="Z47" s="8">
        <f t="shared" si="29"/>
        <v>0</v>
      </c>
      <c r="AA47" s="8">
        <f t="shared" si="29"/>
        <v>0</v>
      </c>
      <c r="AB47" s="8">
        <f t="shared" si="25"/>
        <v>0</v>
      </c>
      <c r="AC47" s="8">
        <f t="shared" si="25"/>
        <v>0</v>
      </c>
      <c r="AD47" s="8">
        <f t="shared" si="25"/>
        <v>0</v>
      </c>
      <c r="AE47" s="8">
        <f t="shared" si="25"/>
        <v>0</v>
      </c>
      <c r="AF47" s="8">
        <f t="shared" si="25"/>
        <v>0</v>
      </c>
      <c r="AG47" s="8">
        <f t="shared" si="25"/>
        <v>0</v>
      </c>
      <c r="AH47" s="8">
        <f t="shared" si="25"/>
        <v>0</v>
      </c>
      <c r="AI47" s="8">
        <f t="shared" si="25"/>
        <v>0</v>
      </c>
      <c r="AJ47" s="8">
        <f t="shared" si="25"/>
        <v>0</v>
      </c>
      <c r="AK47" s="8">
        <f t="shared" si="25"/>
        <v>0</v>
      </c>
      <c r="AL47" s="8">
        <f t="shared" si="25"/>
        <v>0</v>
      </c>
      <c r="AM47" s="8">
        <f t="shared" si="25"/>
        <v>0</v>
      </c>
      <c r="AN47" s="8">
        <f t="shared" si="25"/>
        <v>0</v>
      </c>
      <c r="AO47" s="8">
        <f t="shared" si="25"/>
        <v>0</v>
      </c>
      <c r="AP47" s="8">
        <f t="shared" si="26"/>
        <v>0</v>
      </c>
      <c r="AQ47" s="8">
        <f t="shared" si="26"/>
        <v>0</v>
      </c>
      <c r="AR47" s="8">
        <f t="shared" si="26"/>
        <v>0</v>
      </c>
      <c r="AS47" s="8">
        <f t="shared" si="26"/>
        <v>0</v>
      </c>
      <c r="AT47" s="8">
        <f t="shared" si="26"/>
        <v>0</v>
      </c>
      <c r="AU47" s="8">
        <f t="shared" si="26"/>
        <v>0</v>
      </c>
      <c r="AV47" s="8">
        <f t="shared" si="26"/>
        <v>0</v>
      </c>
      <c r="AW47" s="8">
        <f t="shared" si="26"/>
        <v>0</v>
      </c>
      <c r="AX47" s="8">
        <f t="shared" si="26"/>
        <v>0</v>
      </c>
      <c r="AY47" s="8">
        <f t="shared" si="26"/>
        <v>0</v>
      </c>
      <c r="AZ47" s="8">
        <f t="shared" si="21"/>
        <v>0</v>
      </c>
      <c r="BA47" s="8">
        <f t="shared" si="21"/>
        <v>0</v>
      </c>
      <c r="BB47" s="8">
        <f t="shared" si="21"/>
        <v>0</v>
      </c>
      <c r="BC47" s="8">
        <f t="shared" si="21"/>
        <v>0</v>
      </c>
      <c r="BD47" s="8">
        <f t="shared" si="21"/>
        <v>0</v>
      </c>
      <c r="BE47" s="8">
        <f t="shared" si="21"/>
        <v>0</v>
      </c>
      <c r="BF47" s="8">
        <f t="shared" si="21"/>
        <v>0</v>
      </c>
      <c r="BG47" s="8">
        <f t="shared" si="21"/>
        <v>0</v>
      </c>
      <c r="BH47" s="8">
        <f t="shared" si="27"/>
        <v>0</v>
      </c>
      <c r="BI47" s="8">
        <f t="shared" si="27"/>
        <v>0</v>
      </c>
      <c r="BJ47" s="8">
        <f t="shared" si="27"/>
        <v>0</v>
      </c>
      <c r="BK47" s="8">
        <f t="shared" si="27"/>
        <v>0</v>
      </c>
      <c r="BL47" s="8">
        <f t="shared" si="27"/>
        <v>0</v>
      </c>
      <c r="BM47" s="8">
        <f t="shared" si="27"/>
        <v>0</v>
      </c>
      <c r="BN47" s="8">
        <f t="shared" si="27"/>
        <v>0</v>
      </c>
      <c r="BO47" s="8">
        <f t="shared" si="27"/>
        <v>0</v>
      </c>
      <c r="BP47" s="8">
        <f t="shared" si="27"/>
        <v>0</v>
      </c>
      <c r="BQ47" s="8">
        <f t="shared" si="27"/>
        <v>0</v>
      </c>
      <c r="BR47" s="8">
        <f t="shared" si="27"/>
        <v>0</v>
      </c>
      <c r="BS47" s="8">
        <f t="shared" si="27"/>
        <v>0</v>
      </c>
      <c r="BT47" s="8">
        <f t="shared" si="22"/>
        <v>0</v>
      </c>
      <c r="BU47" s="8">
        <f t="shared" si="22"/>
        <v>0</v>
      </c>
      <c r="BV47" s="8">
        <f t="shared" si="22"/>
        <v>0</v>
      </c>
      <c r="BW47" s="8">
        <f t="shared" si="22"/>
        <v>0</v>
      </c>
      <c r="BX47" s="8">
        <f t="shared" si="22"/>
        <v>0</v>
      </c>
      <c r="BY47" s="8">
        <f t="shared" si="22"/>
        <v>0</v>
      </c>
      <c r="BZ47" s="8">
        <f t="shared" si="22"/>
        <v>0</v>
      </c>
      <c r="CA47" s="8">
        <f t="shared" si="22"/>
        <v>0</v>
      </c>
      <c r="CB47" s="8">
        <f t="shared" si="22"/>
        <v>0</v>
      </c>
      <c r="CC47" s="8">
        <f t="shared" si="22"/>
        <v>0</v>
      </c>
      <c r="CD47" s="8">
        <f t="shared" si="28"/>
        <v>0</v>
      </c>
      <c r="CE47" s="8">
        <f t="shared" si="28"/>
        <v>0</v>
      </c>
      <c r="CF47" s="8">
        <f t="shared" si="28"/>
        <v>0</v>
      </c>
      <c r="CG47" s="8">
        <f t="shared" si="28"/>
        <v>0</v>
      </c>
      <c r="CH47" s="8">
        <f t="shared" si="28"/>
        <v>0</v>
      </c>
      <c r="CI47" s="8">
        <f t="shared" si="28"/>
        <v>0</v>
      </c>
      <c r="CJ47" s="8">
        <f t="shared" si="28"/>
        <v>0</v>
      </c>
      <c r="CK47" s="29">
        <f t="shared" si="28"/>
        <v>0</v>
      </c>
      <c r="CN47" s="8">
        <v>22</v>
      </c>
      <c r="CO47" s="16">
        <v>0.05</v>
      </c>
      <c r="CP47" s="16">
        <v>-1.2565181612146413E-2</v>
      </c>
      <c r="CQ47" s="16">
        <v>1.4906596588644284E-2</v>
      </c>
      <c r="CR47" s="16">
        <v>2.7613508535369872E-2</v>
      </c>
      <c r="CS47" s="16">
        <f t="shared" si="14"/>
        <v>7.995492351186774E-2</v>
      </c>
    </row>
    <row r="48" spans="1:97" x14ac:dyDescent="0.45">
      <c r="A48" s="7"/>
      <c r="B48" s="57"/>
      <c r="C48" s="17"/>
      <c r="D48" s="17">
        <f t="shared" si="30"/>
        <v>0</v>
      </c>
      <c r="E48" s="17">
        <f t="shared" si="31"/>
        <v>0</v>
      </c>
      <c r="F48" s="17">
        <f t="shared" si="32"/>
        <v>0</v>
      </c>
      <c r="G48" s="18">
        <f t="shared" si="33"/>
        <v>0</v>
      </c>
      <c r="H48" s="18">
        <f>IFERROR(IRR((J48,L48:CK48),0),0)</f>
        <v>0</v>
      </c>
      <c r="I48" s="52">
        <f t="shared" si="34"/>
        <v>0</v>
      </c>
      <c r="J48" s="17">
        <f t="shared" si="35"/>
        <v>0</v>
      </c>
      <c r="K48" s="28">
        <f t="shared" si="36"/>
        <v>0</v>
      </c>
      <c r="L48" s="8">
        <f t="shared" si="29"/>
        <v>0</v>
      </c>
      <c r="M48" s="8">
        <f t="shared" si="29"/>
        <v>0</v>
      </c>
      <c r="N48" s="8">
        <f t="shared" si="29"/>
        <v>0</v>
      </c>
      <c r="O48" s="8">
        <f t="shared" si="29"/>
        <v>0</v>
      </c>
      <c r="P48" s="8">
        <f t="shared" si="29"/>
        <v>0</v>
      </c>
      <c r="Q48" s="8">
        <f t="shared" si="29"/>
        <v>0</v>
      </c>
      <c r="R48" s="8">
        <f t="shared" si="29"/>
        <v>0</v>
      </c>
      <c r="S48" s="8">
        <f t="shared" si="29"/>
        <v>0</v>
      </c>
      <c r="T48" s="8">
        <f t="shared" si="29"/>
        <v>0</v>
      </c>
      <c r="U48" s="8">
        <f t="shared" si="29"/>
        <v>0</v>
      </c>
      <c r="V48" s="8">
        <f t="shared" si="29"/>
        <v>0</v>
      </c>
      <c r="W48" s="8">
        <f t="shared" si="29"/>
        <v>0</v>
      </c>
      <c r="X48" s="8">
        <f t="shared" si="29"/>
        <v>0</v>
      </c>
      <c r="Y48" s="8">
        <f t="shared" si="29"/>
        <v>0</v>
      </c>
      <c r="Z48" s="8">
        <f t="shared" si="29"/>
        <v>0</v>
      </c>
      <c r="AA48" s="8">
        <f t="shared" si="29"/>
        <v>0</v>
      </c>
      <c r="AB48" s="8">
        <f t="shared" si="25"/>
        <v>0</v>
      </c>
      <c r="AC48" s="8">
        <f t="shared" si="25"/>
        <v>0</v>
      </c>
      <c r="AD48" s="8">
        <f t="shared" si="25"/>
        <v>0</v>
      </c>
      <c r="AE48" s="8">
        <f t="shared" si="25"/>
        <v>0</v>
      </c>
      <c r="AF48" s="8">
        <f t="shared" si="25"/>
        <v>0</v>
      </c>
      <c r="AG48" s="8">
        <f t="shared" si="25"/>
        <v>0</v>
      </c>
      <c r="AH48" s="8">
        <f t="shared" si="25"/>
        <v>0</v>
      </c>
      <c r="AI48" s="8">
        <f t="shared" si="25"/>
        <v>0</v>
      </c>
      <c r="AJ48" s="8">
        <f t="shared" si="25"/>
        <v>0</v>
      </c>
      <c r="AK48" s="8">
        <f t="shared" si="25"/>
        <v>0</v>
      </c>
      <c r="AL48" s="8">
        <f t="shared" si="25"/>
        <v>0</v>
      </c>
      <c r="AM48" s="8">
        <f t="shared" si="25"/>
        <v>0</v>
      </c>
      <c r="AN48" s="8">
        <f t="shared" si="25"/>
        <v>0</v>
      </c>
      <c r="AO48" s="8">
        <f t="shared" si="25"/>
        <v>0</v>
      </c>
      <c r="AP48" s="8">
        <f t="shared" si="26"/>
        <v>0</v>
      </c>
      <c r="AQ48" s="8">
        <f t="shared" si="26"/>
        <v>0</v>
      </c>
      <c r="AR48" s="8">
        <f t="shared" si="26"/>
        <v>0</v>
      </c>
      <c r="AS48" s="8">
        <f t="shared" si="26"/>
        <v>0</v>
      </c>
      <c r="AT48" s="8">
        <f t="shared" si="26"/>
        <v>0</v>
      </c>
      <c r="AU48" s="8">
        <f t="shared" si="26"/>
        <v>0</v>
      </c>
      <c r="AV48" s="8">
        <f t="shared" si="26"/>
        <v>0</v>
      </c>
      <c r="AW48" s="8">
        <f t="shared" si="26"/>
        <v>0</v>
      </c>
      <c r="AX48" s="8">
        <f t="shared" si="26"/>
        <v>0</v>
      </c>
      <c r="AY48" s="8">
        <f t="shared" si="26"/>
        <v>0</v>
      </c>
      <c r="AZ48" s="8">
        <f t="shared" si="21"/>
        <v>0</v>
      </c>
      <c r="BA48" s="8">
        <f t="shared" si="21"/>
        <v>0</v>
      </c>
      <c r="BB48" s="8">
        <f t="shared" si="21"/>
        <v>0</v>
      </c>
      <c r="BC48" s="8">
        <f t="shared" si="21"/>
        <v>0</v>
      </c>
      <c r="BD48" s="8">
        <f t="shared" si="21"/>
        <v>0</v>
      </c>
      <c r="BE48" s="8">
        <f t="shared" si="21"/>
        <v>0</v>
      </c>
      <c r="BF48" s="8">
        <f t="shared" si="21"/>
        <v>0</v>
      </c>
      <c r="BG48" s="8">
        <f t="shared" si="21"/>
        <v>0</v>
      </c>
      <c r="BH48" s="8">
        <f t="shared" si="27"/>
        <v>0</v>
      </c>
      <c r="BI48" s="8">
        <f t="shared" si="27"/>
        <v>0</v>
      </c>
      <c r="BJ48" s="8">
        <f t="shared" si="27"/>
        <v>0</v>
      </c>
      <c r="BK48" s="8">
        <f t="shared" si="27"/>
        <v>0</v>
      </c>
      <c r="BL48" s="8">
        <f t="shared" si="27"/>
        <v>0</v>
      </c>
      <c r="BM48" s="8">
        <f t="shared" si="27"/>
        <v>0</v>
      </c>
      <c r="BN48" s="8">
        <f t="shared" si="27"/>
        <v>0</v>
      </c>
      <c r="BO48" s="8">
        <f t="shared" si="27"/>
        <v>0</v>
      </c>
      <c r="BP48" s="8">
        <f t="shared" si="27"/>
        <v>0</v>
      </c>
      <c r="BQ48" s="8">
        <f t="shared" si="27"/>
        <v>0</v>
      </c>
      <c r="BR48" s="8">
        <f t="shared" si="27"/>
        <v>0</v>
      </c>
      <c r="BS48" s="8">
        <f t="shared" si="27"/>
        <v>0</v>
      </c>
      <c r="BT48" s="8">
        <f t="shared" si="22"/>
        <v>0</v>
      </c>
      <c r="BU48" s="8">
        <f t="shared" si="22"/>
        <v>0</v>
      </c>
      <c r="BV48" s="8">
        <f t="shared" si="22"/>
        <v>0</v>
      </c>
      <c r="BW48" s="8">
        <f t="shared" si="22"/>
        <v>0</v>
      </c>
      <c r="BX48" s="8">
        <f t="shared" si="22"/>
        <v>0</v>
      </c>
      <c r="BY48" s="8">
        <f t="shared" si="22"/>
        <v>0</v>
      </c>
      <c r="BZ48" s="8">
        <f t="shared" si="22"/>
        <v>0</v>
      </c>
      <c r="CA48" s="8">
        <f t="shared" si="22"/>
        <v>0</v>
      </c>
      <c r="CB48" s="8">
        <f t="shared" si="22"/>
        <v>0</v>
      </c>
      <c r="CC48" s="8">
        <f t="shared" si="22"/>
        <v>0</v>
      </c>
      <c r="CD48" s="8">
        <f t="shared" si="28"/>
        <v>0</v>
      </c>
      <c r="CE48" s="8">
        <f t="shared" si="28"/>
        <v>0</v>
      </c>
      <c r="CF48" s="8">
        <f t="shared" si="28"/>
        <v>0</v>
      </c>
      <c r="CG48" s="8">
        <f t="shared" si="28"/>
        <v>0</v>
      </c>
      <c r="CH48" s="8">
        <f t="shared" si="28"/>
        <v>0</v>
      </c>
      <c r="CI48" s="8">
        <f t="shared" si="28"/>
        <v>0</v>
      </c>
      <c r="CJ48" s="8">
        <f t="shared" si="28"/>
        <v>0</v>
      </c>
      <c r="CK48" s="29">
        <f t="shared" si="28"/>
        <v>0</v>
      </c>
      <c r="CN48" s="8">
        <v>22.5</v>
      </c>
      <c r="CO48" s="16">
        <v>0.05</v>
      </c>
      <c r="CP48" s="16">
        <v>-1.2425120838966262E-2</v>
      </c>
      <c r="CQ48" s="16">
        <v>1.49934381516379E-2</v>
      </c>
      <c r="CR48" s="16">
        <v>2.8019725819407277E-2</v>
      </c>
      <c r="CS48" s="16">
        <f t="shared" si="14"/>
        <v>8.0588043132078915E-2</v>
      </c>
    </row>
    <row r="49" spans="1:97" x14ac:dyDescent="0.45">
      <c r="A49" s="7"/>
      <c r="B49" s="57"/>
      <c r="C49" s="17"/>
      <c r="D49" s="17">
        <f t="shared" si="30"/>
        <v>0</v>
      </c>
      <c r="E49" s="17">
        <f t="shared" si="31"/>
        <v>0</v>
      </c>
      <c r="F49" s="17">
        <f t="shared" si="32"/>
        <v>0</v>
      </c>
      <c r="G49" s="18">
        <f t="shared" si="33"/>
        <v>0</v>
      </c>
      <c r="H49" s="18">
        <f>IFERROR(IRR((J49,L49:CK49),0),0)</f>
        <v>0</v>
      </c>
      <c r="I49" s="52">
        <f t="shared" si="34"/>
        <v>0</v>
      </c>
      <c r="J49" s="17">
        <f t="shared" si="35"/>
        <v>0</v>
      </c>
      <c r="K49" s="28">
        <f t="shared" si="36"/>
        <v>0</v>
      </c>
      <c r="L49" s="8">
        <f t="shared" si="29"/>
        <v>0</v>
      </c>
      <c r="M49" s="8">
        <f t="shared" si="29"/>
        <v>0</v>
      </c>
      <c r="N49" s="8">
        <f t="shared" si="29"/>
        <v>0</v>
      </c>
      <c r="O49" s="8">
        <f t="shared" si="29"/>
        <v>0</v>
      </c>
      <c r="P49" s="8">
        <f t="shared" si="29"/>
        <v>0</v>
      </c>
      <c r="Q49" s="8">
        <f t="shared" si="29"/>
        <v>0</v>
      </c>
      <c r="R49" s="8">
        <f t="shared" si="29"/>
        <v>0</v>
      </c>
      <c r="S49" s="8">
        <f t="shared" si="29"/>
        <v>0</v>
      </c>
      <c r="T49" s="8">
        <f t="shared" si="29"/>
        <v>0</v>
      </c>
      <c r="U49" s="8">
        <f t="shared" si="29"/>
        <v>0</v>
      </c>
      <c r="V49" s="8">
        <f t="shared" si="29"/>
        <v>0</v>
      </c>
      <c r="W49" s="8">
        <f t="shared" si="29"/>
        <v>0</v>
      </c>
      <c r="X49" s="8">
        <f t="shared" si="29"/>
        <v>0</v>
      </c>
      <c r="Y49" s="8">
        <f t="shared" si="29"/>
        <v>0</v>
      </c>
      <c r="Z49" s="8">
        <f t="shared" si="29"/>
        <v>0</v>
      </c>
      <c r="AA49" s="8">
        <f t="shared" si="29"/>
        <v>0</v>
      </c>
      <c r="AB49" s="8">
        <f t="shared" si="25"/>
        <v>0</v>
      </c>
      <c r="AC49" s="8">
        <f t="shared" si="25"/>
        <v>0</v>
      </c>
      <c r="AD49" s="8">
        <f t="shared" si="25"/>
        <v>0</v>
      </c>
      <c r="AE49" s="8">
        <f t="shared" si="25"/>
        <v>0</v>
      </c>
      <c r="AF49" s="8">
        <f t="shared" si="25"/>
        <v>0</v>
      </c>
      <c r="AG49" s="8">
        <f t="shared" si="25"/>
        <v>0</v>
      </c>
      <c r="AH49" s="8">
        <f t="shared" si="25"/>
        <v>0</v>
      </c>
      <c r="AI49" s="8">
        <f t="shared" si="25"/>
        <v>0</v>
      </c>
      <c r="AJ49" s="8">
        <f t="shared" si="25"/>
        <v>0</v>
      </c>
      <c r="AK49" s="8">
        <f t="shared" si="25"/>
        <v>0</v>
      </c>
      <c r="AL49" s="8">
        <f t="shared" si="25"/>
        <v>0</v>
      </c>
      <c r="AM49" s="8">
        <f t="shared" si="25"/>
        <v>0</v>
      </c>
      <c r="AN49" s="8">
        <f t="shared" si="25"/>
        <v>0</v>
      </c>
      <c r="AO49" s="8">
        <f t="shared" si="25"/>
        <v>0</v>
      </c>
      <c r="AP49" s="8">
        <f t="shared" si="26"/>
        <v>0</v>
      </c>
      <c r="AQ49" s="8">
        <f t="shared" si="26"/>
        <v>0</v>
      </c>
      <c r="AR49" s="8">
        <f t="shared" si="26"/>
        <v>0</v>
      </c>
      <c r="AS49" s="8">
        <f t="shared" si="26"/>
        <v>0</v>
      </c>
      <c r="AT49" s="8">
        <f t="shared" si="26"/>
        <v>0</v>
      </c>
      <c r="AU49" s="8">
        <f t="shared" si="26"/>
        <v>0</v>
      </c>
      <c r="AV49" s="8">
        <f t="shared" si="26"/>
        <v>0</v>
      </c>
      <c r="AW49" s="8">
        <f t="shared" si="26"/>
        <v>0</v>
      </c>
      <c r="AX49" s="8">
        <f t="shared" si="26"/>
        <v>0</v>
      </c>
      <c r="AY49" s="8">
        <f t="shared" si="26"/>
        <v>0</v>
      </c>
      <c r="AZ49" s="8">
        <f t="shared" si="21"/>
        <v>0</v>
      </c>
      <c r="BA49" s="8">
        <f t="shared" si="21"/>
        <v>0</v>
      </c>
      <c r="BB49" s="8">
        <f t="shared" si="21"/>
        <v>0</v>
      </c>
      <c r="BC49" s="8">
        <f t="shared" si="21"/>
        <v>0</v>
      </c>
      <c r="BD49" s="8">
        <f t="shared" si="21"/>
        <v>0</v>
      </c>
      <c r="BE49" s="8">
        <f t="shared" si="21"/>
        <v>0</v>
      </c>
      <c r="BF49" s="8">
        <f t="shared" si="21"/>
        <v>0</v>
      </c>
      <c r="BG49" s="8">
        <f t="shared" si="21"/>
        <v>0</v>
      </c>
      <c r="BH49" s="8">
        <f t="shared" si="27"/>
        <v>0</v>
      </c>
      <c r="BI49" s="8">
        <f t="shared" si="27"/>
        <v>0</v>
      </c>
      <c r="BJ49" s="8">
        <f t="shared" si="27"/>
        <v>0</v>
      </c>
      <c r="BK49" s="8">
        <f t="shared" si="27"/>
        <v>0</v>
      </c>
      <c r="BL49" s="8">
        <f t="shared" si="27"/>
        <v>0</v>
      </c>
      <c r="BM49" s="8">
        <f t="shared" si="27"/>
        <v>0</v>
      </c>
      <c r="BN49" s="8">
        <f t="shared" si="27"/>
        <v>0</v>
      </c>
      <c r="BO49" s="8">
        <f t="shared" si="27"/>
        <v>0</v>
      </c>
      <c r="BP49" s="8">
        <f t="shared" si="27"/>
        <v>0</v>
      </c>
      <c r="BQ49" s="8">
        <f t="shared" si="27"/>
        <v>0</v>
      </c>
      <c r="BR49" s="8">
        <f t="shared" si="27"/>
        <v>0</v>
      </c>
      <c r="BS49" s="8">
        <f t="shared" si="27"/>
        <v>0</v>
      </c>
      <c r="BT49" s="8">
        <f t="shared" si="22"/>
        <v>0</v>
      </c>
      <c r="BU49" s="8">
        <f t="shared" si="22"/>
        <v>0</v>
      </c>
      <c r="BV49" s="8">
        <f t="shared" si="22"/>
        <v>0</v>
      </c>
      <c r="BW49" s="8">
        <f t="shared" si="22"/>
        <v>0</v>
      </c>
      <c r="BX49" s="8">
        <f t="shared" si="22"/>
        <v>0</v>
      </c>
      <c r="BY49" s="8">
        <f t="shared" si="22"/>
        <v>0</v>
      </c>
      <c r="BZ49" s="8">
        <f t="shared" si="22"/>
        <v>0</v>
      </c>
      <c r="CA49" s="8">
        <f t="shared" si="22"/>
        <v>0</v>
      </c>
      <c r="CB49" s="8">
        <f t="shared" si="22"/>
        <v>0</v>
      </c>
      <c r="CC49" s="8">
        <f t="shared" si="22"/>
        <v>0</v>
      </c>
      <c r="CD49" s="8">
        <f t="shared" si="28"/>
        <v>0</v>
      </c>
      <c r="CE49" s="8">
        <f t="shared" si="28"/>
        <v>0</v>
      </c>
      <c r="CF49" s="8">
        <f t="shared" si="28"/>
        <v>0</v>
      </c>
      <c r="CG49" s="8">
        <f t="shared" si="28"/>
        <v>0</v>
      </c>
      <c r="CH49" s="8">
        <f t="shared" si="28"/>
        <v>0</v>
      </c>
      <c r="CI49" s="8">
        <f t="shared" si="28"/>
        <v>0</v>
      </c>
      <c r="CJ49" s="8">
        <f t="shared" si="28"/>
        <v>0</v>
      </c>
      <c r="CK49" s="29">
        <f t="shared" si="28"/>
        <v>0</v>
      </c>
      <c r="CN49" s="8">
        <v>23</v>
      </c>
      <c r="CO49" s="16">
        <v>0.05</v>
      </c>
      <c r="CP49" s="16">
        <v>-1.2287371285791313E-2</v>
      </c>
      <c r="CQ49" s="16">
        <v>1.5074089111965883E-2</v>
      </c>
      <c r="CR49" s="16">
        <v>2.8418137477355197E-2</v>
      </c>
      <c r="CS49" s="16">
        <f t="shared" si="14"/>
        <v>8.1204855303529763E-2</v>
      </c>
    </row>
    <row r="50" spans="1:97" x14ac:dyDescent="0.45">
      <c r="A50" s="7"/>
      <c r="B50" s="57"/>
      <c r="C50" s="17"/>
      <c r="D50" s="17">
        <f t="shared" si="30"/>
        <v>0</v>
      </c>
      <c r="E50" s="17">
        <f t="shared" si="31"/>
        <v>0</v>
      </c>
      <c r="F50" s="17">
        <f t="shared" si="32"/>
        <v>0</v>
      </c>
      <c r="G50" s="18">
        <f t="shared" si="33"/>
        <v>0</v>
      </c>
      <c r="H50" s="18">
        <f>IFERROR(IRR((J50,L50:CK50),0),0)</f>
        <v>0</v>
      </c>
      <c r="I50" s="52">
        <f t="shared" si="34"/>
        <v>0</v>
      </c>
      <c r="J50" s="17">
        <f t="shared" si="35"/>
        <v>0</v>
      </c>
      <c r="K50" s="28">
        <f t="shared" si="36"/>
        <v>0</v>
      </c>
      <c r="L50" s="8">
        <f t="shared" si="29"/>
        <v>0</v>
      </c>
      <c r="M50" s="8">
        <f t="shared" si="29"/>
        <v>0</v>
      </c>
      <c r="N50" s="8">
        <f t="shared" si="29"/>
        <v>0</v>
      </c>
      <c r="O50" s="8">
        <f t="shared" si="29"/>
        <v>0</v>
      </c>
      <c r="P50" s="8">
        <f t="shared" si="29"/>
        <v>0</v>
      </c>
      <c r="Q50" s="8">
        <f t="shared" si="29"/>
        <v>0</v>
      </c>
      <c r="R50" s="8">
        <f t="shared" si="29"/>
        <v>0</v>
      </c>
      <c r="S50" s="8">
        <f t="shared" si="29"/>
        <v>0</v>
      </c>
      <c r="T50" s="8">
        <f t="shared" si="29"/>
        <v>0</v>
      </c>
      <c r="U50" s="8">
        <f t="shared" si="29"/>
        <v>0</v>
      </c>
      <c r="V50" s="8">
        <f t="shared" si="29"/>
        <v>0</v>
      </c>
      <c r="W50" s="8">
        <f t="shared" si="29"/>
        <v>0</v>
      </c>
      <c r="X50" s="8">
        <f t="shared" si="29"/>
        <v>0</v>
      </c>
      <c r="Y50" s="8">
        <f t="shared" si="29"/>
        <v>0</v>
      </c>
      <c r="Z50" s="8">
        <f t="shared" si="29"/>
        <v>0</v>
      </c>
      <c r="AA50" s="8">
        <f t="shared" si="29"/>
        <v>0</v>
      </c>
      <c r="AB50" s="8">
        <f t="shared" si="25"/>
        <v>0</v>
      </c>
      <c r="AC50" s="8">
        <f t="shared" si="25"/>
        <v>0</v>
      </c>
      <c r="AD50" s="8">
        <f t="shared" si="25"/>
        <v>0</v>
      </c>
      <c r="AE50" s="8">
        <f t="shared" si="25"/>
        <v>0</v>
      </c>
      <c r="AF50" s="8">
        <f t="shared" si="25"/>
        <v>0</v>
      </c>
      <c r="AG50" s="8">
        <f t="shared" si="25"/>
        <v>0</v>
      </c>
      <c r="AH50" s="8">
        <f t="shared" si="25"/>
        <v>0</v>
      </c>
      <c r="AI50" s="8">
        <f t="shared" si="25"/>
        <v>0</v>
      </c>
      <c r="AJ50" s="8">
        <f t="shared" si="25"/>
        <v>0</v>
      </c>
      <c r="AK50" s="8">
        <f t="shared" si="25"/>
        <v>0</v>
      </c>
      <c r="AL50" s="8">
        <f t="shared" si="25"/>
        <v>0</v>
      </c>
      <c r="AM50" s="8">
        <f t="shared" si="25"/>
        <v>0</v>
      </c>
      <c r="AN50" s="8">
        <f t="shared" si="25"/>
        <v>0</v>
      </c>
      <c r="AO50" s="8">
        <f t="shared" si="25"/>
        <v>0</v>
      </c>
      <c r="AP50" s="8">
        <f t="shared" si="26"/>
        <v>0</v>
      </c>
      <c r="AQ50" s="8">
        <f t="shared" si="26"/>
        <v>0</v>
      </c>
      <c r="AR50" s="8">
        <f t="shared" si="26"/>
        <v>0</v>
      </c>
      <c r="AS50" s="8">
        <f t="shared" si="26"/>
        <v>0</v>
      </c>
      <c r="AT50" s="8">
        <f t="shared" si="26"/>
        <v>0</v>
      </c>
      <c r="AU50" s="8">
        <f t="shared" si="26"/>
        <v>0</v>
      </c>
      <c r="AV50" s="8">
        <f t="shared" si="26"/>
        <v>0</v>
      </c>
      <c r="AW50" s="8">
        <f t="shared" si="26"/>
        <v>0</v>
      </c>
      <c r="AX50" s="8">
        <f t="shared" si="26"/>
        <v>0</v>
      </c>
      <c r="AY50" s="8">
        <f t="shared" si="26"/>
        <v>0</v>
      </c>
      <c r="AZ50" s="8">
        <f t="shared" si="26"/>
        <v>0</v>
      </c>
      <c r="BA50" s="8">
        <f t="shared" si="26"/>
        <v>0</v>
      </c>
      <c r="BB50" s="8">
        <f t="shared" si="26"/>
        <v>0</v>
      </c>
      <c r="BC50" s="8">
        <f t="shared" si="26"/>
        <v>0</v>
      </c>
      <c r="BD50" s="8">
        <f t="shared" si="26"/>
        <v>0</v>
      </c>
      <c r="BE50" s="8">
        <f t="shared" si="26"/>
        <v>0</v>
      </c>
      <c r="BF50" s="8">
        <f t="shared" ref="AZ50:BO66" si="37">$B50*100*(BF$2&lt;$A50)+100*(1+$B50)*(BF$2=$A50)</f>
        <v>0</v>
      </c>
      <c r="BG50" s="8">
        <f t="shared" si="37"/>
        <v>0</v>
      </c>
      <c r="BH50" s="8">
        <f t="shared" si="27"/>
        <v>0</v>
      </c>
      <c r="BI50" s="8">
        <f t="shared" si="27"/>
        <v>0</v>
      </c>
      <c r="BJ50" s="8">
        <f t="shared" si="27"/>
        <v>0</v>
      </c>
      <c r="BK50" s="8">
        <f t="shared" si="27"/>
        <v>0</v>
      </c>
      <c r="BL50" s="8">
        <f t="shared" si="27"/>
        <v>0</v>
      </c>
      <c r="BM50" s="8">
        <f t="shared" si="27"/>
        <v>0</v>
      </c>
      <c r="BN50" s="8">
        <f t="shared" si="27"/>
        <v>0</v>
      </c>
      <c r="BO50" s="8">
        <f t="shared" si="27"/>
        <v>0</v>
      </c>
      <c r="BP50" s="8">
        <f t="shared" si="27"/>
        <v>0</v>
      </c>
      <c r="BQ50" s="8">
        <f t="shared" si="27"/>
        <v>0</v>
      </c>
      <c r="BR50" s="8">
        <f t="shared" si="27"/>
        <v>0</v>
      </c>
      <c r="BS50" s="8">
        <f t="shared" si="27"/>
        <v>0</v>
      </c>
      <c r="BT50" s="8">
        <f t="shared" si="27"/>
        <v>0</v>
      </c>
      <c r="BU50" s="8">
        <f t="shared" si="27"/>
        <v>0</v>
      </c>
      <c r="BV50" s="8">
        <f t="shared" si="27"/>
        <v>0</v>
      </c>
      <c r="BW50" s="8">
        <f t="shared" si="27"/>
        <v>0</v>
      </c>
      <c r="BX50" s="8">
        <f t="shared" ref="BT50:CI66" si="38">$B50*100*(BX$2&lt;$A50)+100*(1+$B50)*(BX$2=$A50)</f>
        <v>0</v>
      </c>
      <c r="BY50" s="8">
        <f t="shared" si="38"/>
        <v>0</v>
      </c>
      <c r="BZ50" s="8">
        <f t="shared" si="38"/>
        <v>0</v>
      </c>
      <c r="CA50" s="8">
        <f t="shared" si="38"/>
        <v>0</v>
      </c>
      <c r="CB50" s="8">
        <f t="shared" si="38"/>
        <v>0</v>
      </c>
      <c r="CC50" s="8">
        <f t="shared" si="38"/>
        <v>0</v>
      </c>
      <c r="CD50" s="8">
        <f t="shared" si="28"/>
        <v>0</v>
      </c>
      <c r="CE50" s="8">
        <f t="shared" si="28"/>
        <v>0</v>
      </c>
      <c r="CF50" s="8">
        <f t="shared" si="28"/>
        <v>0</v>
      </c>
      <c r="CG50" s="8">
        <f t="shared" si="28"/>
        <v>0</v>
      </c>
      <c r="CH50" s="8">
        <f t="shared" si="28"/>
        <v>0</v>
      </c>
      <c r="CI50" s="8">
        <f t="shared" si="28"/>
        <v>0</v>
      </c>
      <c r="CJ50" s="8">
        <f t="shared" si="28"/>
        <v>0</v>
      </c>
      <c r="CK50" s="29">
        <f t="shared" si="28"/>
        <v>0</v>
      </c>
      <c r="CN50" s="8">
        <v>23.5</v>
      </c>
      <c r="CO50" s="16">
        <v>0.05</v>
      </c>
      <c r="CP50" s="16">
        <v>-1.2151888060403723E-2</v>
      </c>
      <c r="CQ50" s="16">
        <v>1.5148767463893362E-2</v>
      </c>
      <c r="CR50" s="16">
        <v>2.8808855989305934E-2</v>
      </c>
      <c r="CS50" s="16">
        <f t="shared" si="14"/>
        <v>8.1805735392795578E-2</v>
      </c>
    </row>
    <row r="51" spans="1:97" x14ac:dyDescent="0.45">
      <c r="A51" s="7"/>
      <c r="B51" s="57"/>
      <c r="C51" s="17"/>
      <c r="D51" s="17">
        <f t="shared" si="30"/>
        <v>0</v>
      </c>
      <c r="E51" s="17">
        <f t="shared" si="31"/>
        <v>0</v>
      </c>
      <c r="F51" s="17">
        <f t="shared" si="32"/>
        <v>0</v>
      </c>
      <c r="G51" s="18">
        <f t="shared" si="33"/>
        <v>0</v>
      </c>
      <c r="H51" s="18">
        <f>IFERROR(IRR((J51,L51:CK51),0),0)</f>
        <v>0</v>
      </c>
      <c r="I51" s="52">
        <f t="shared" si="34"/>
        <v>0</v>
      </c>
      <c r="J51" s="17">
        <f t="shared" si="35"/>
        <v>0</v>
      </c>
      <c r="K51" s="28">
        <f t="shared" si="36"/>
        <v>0</v>
      </c>
      <c r="L51" s="8">
        <f t="shared" si="29"/>
        <v>0</v>
      </c>
      <c r="M51" s="8">
        <f t="shared" si="29"/>
        <v>0</v>
      </c>
      <c r="N51" s="8">
        <f t="shared" si="29"/>
        <v>0</v>
      </c>
      <c r="O51" s="8">
        <f t="shared" si="29"/>
        <v>0</v>
      </c>
      <c r="P51" s="8">
        <f t="shared" si="29"/>
        <v>0</v>
      </c>
      <c r="Q51" s="8">
        <f t="shared" si="29"/>
        <v>0</v>
      </c>
      <c r="R51" s="8">
        <f t="shared" si="29"/>
        <v>0</v>
      </c>
      <c r="S51" s="8">
        <f t="shared" si="29"/>
        <v>0</v>
      </c>
      <c r="T51" s="8">
        <f t="shared" si="29"/>
        <v>0</v>
      </c>
      <c r="U51" s="8">
        <f t="shared" si="29"/>
        <v>0</v>
      </c>
      <c r="V51" s="8">
        <f t="shared" si="29"/>
        <v>0</v>
      </c>
      <c r="W51" s="8">
        <f t="shared" si="29"/>
        <v>0</v>
      </c>
      <c r="X51" s="8">
        <f t="shared" si="29"/>
        <v>0</v>
      </c>
      <c r="Y51" s="8">
        <f t="shared" si="29"/>
        <v>0</v>
      </c>
      <c r="Z51" s="8">
        <f t="shared" si="29"/>
        <v>0</v>
      </c>
      <c r="AA51" s="8">
        <f t="shared" ref="AA51:AP66" si="39">$B51*100*(AA$2&lt;$A51)+100*(1+$B51)*(AA$2=$A51)</f>
        <v>0</v>
      </c>
      <c r="AB51" s="8">
        <f t="shared" si="39"/>
        <v>0</v>
      </c>
      <c r="AC51" s="8">
        <f t="shared" si="39"/>
        <v>0</v>
      </c>
      <c r="AD51" s="8">
        <f t="shared" si="39"/>
        <v>0</v>
      </c>
      <c r="AE51" s="8">
        <f t="shared" si="39"/>
        <v>0</v>
      </c>
      <c r="AF51" s="8">
        <f t="shared" si="39"/>
        <v>0</v>
      </c>
      <c r="AG51" s="8">
        <f t="shared" si="39"/>
        <v>0</v>
      </c>
      <c r="AH51" s="8">
        <f t="shared" si="39"/>
        <v>0</v>
      </c>
      <c r="AI51" s="8">
        <f t="shared" si="39"/>
        <v>0</v>
      </c>
      <c r="AJ51" s="8">
        <f t="shared" si="39"/>
        <v>0</v>
      </c>
      <c r="AK51" s="8">
        <f t="shared" si="39"/>
        <v>0</v>
      </c>
      <c r="AL51" s="8">
        <f t="shared" si="39"/>
        <v>0</v>
      </c>
      <c r="AM51" s="8">
        <f t="shared" si="39"/>
        <v>0</v>
      </c>
      <c r="AN51" s="8">
        <f t="shared" si="39"/>
        <v>0</v>
      </c>
      <c r="AO51" s="8">
        <f t="shared" si="39"/>
        <v>0</v>
      </c>
      <c r="AP51" s="8">
        <f t="shared" si="39"/>
        <v>0</v>
      </c>
      <c r="AQ51" s="8">
        <f t="shared" ref="AP51:AY66" si="40">$B51*100*(AQ$2&lt;$A51)+100*(1+$B51)*(AQ$2=$A51)</f>
        <v>0</v>
      </c>
      <c r="AR51" s="8">
        <f t="shared" si="40"/>
        <v>0</v>
      </c>
      <c r="AS51" s="8">
        <f t="shared" si="40"/>
        <v>0</v>
      </c>
      <c r="AT51" s="8">
        <f t="shared" si="40"/>
        <v>0</v>
      </c>
      <c r="AU51" s="8">
        <f t="shared" si="40"/>
        <v>0</v>
      </c>
      <c r="AV51" s="8">
        <f t="shared" si="40"/>
        <v>0</v>
      </c>
      <c r="AW51" s="8">
        <f t="shared" si="40"/>
        <v>0</v>
      </c>
      <c r="AX51" s="8">
        <f t="shared" si="40"/>
        <v>0</v>
      </c>
      <c r="AY51" s="8">
        <f t="shared" si="40"/>
        <v>0</v>
      </c>
      <c r="AZ51" s="8">
        <f t="shared" si="37"/>
        <v>0</v>
      </c>
      <c r="BA51" s="8">
        <f t="shared" si="37"/>
        <v>0</v>
      </c>
      <c r="BB51" s="8">
        <f t="shared" si="37"/>
        <v>0</v>
      </c>
      <c r="BC51" s="8">
        <f t="shared" si="37"/>
        <v>0</v>
      </c>
      <c r="BD51" s="8">
        <f t="shared" si="37"/>
        <v>0</v>
      </c>
      <c r="BE51" s="8">
        <f t="shared" si="37"/>
        <v>0</v>
      </c>
      <c r="BF51" s="8">
        <f t="shared" si="37"/>
        <v>0</v>
      </c>
      <c r="BG51" s="8">
        <f t="shared" si="37"/>
        <v>0</v>
      </c>
      <c r="BH51" s="8">
        <f t="shared" si="37"/>
        <v>0</v>
      </c>
      <c r="BI51" s="8">
        <f t="shared" si="37"/>
        <v>0</v>
      </c>
      <c r="BJ51" s="8">
        <f t="shared" si="37"/>
        <v>0</v>
      </c>
      <c r="BK51" s="8">
        <f t="shared" si="37"/>
        <v>0</v>
      </c>
      <c r="BL51" s="8">
        <f t="shared" si="37"/>
        <v>0</v>
      </c>
      <c r="BM51" s="8">
        <f t="shared" si="37"/>
        <v>0</v>
      </c>
      <c r="BN51" s="8">
        <f t="shared" si="37"/>
        <v>0</v>
      </c>
      <c r="BO51" s="8">
        <f t="shared" si="37"/>
        <v>0</v>
      </c>
      <c r="BP51" s="8">
        <f t="shared" ref="BH51:BS66" si="41">$B51*100*(BP$2&lt;$A51)+100*(1+$B51)*(BP$2=$A51)</f>
        <v>0</v>
      </c>
      <c r="BQ51" s="8">
        <f t="shared" si="41"/>
        <v>0</v>
      </c>
      <c r="BR51" s="8">
        <f t="shared" si="41"/>
        <v>0</v>
      </c>
      <c r="BS51" s="8">
        <f t="shared" si="41"/>
        <v>0</v>
      </c>
      <c r="BT51" s="8">
        <f t="shared" si="38"/>
        <v>0</v>
      </c>
      <c r="BU51" s="8">
        <f t="shared" si="38"/>
        <v>0</v>
      </c>
      <c r="BV51" s="8">
        <f t="shared" si="38"/>
        <v>0</v>
      </c>
      <c r="BW51" s="8">
        <f t="shared" si="38"/>
        <v>0</v>
      </c>
      <c r="BX51" s="8">
        <f t="shared" si="38"/>
        <v>0</v>
      </c>
      <c r="BY51" s="8">
        <f t="shared" si="38"/>
        <v>0</v>
      </c>
      <c r="BZ51" s="8">
        <f t="shared" si="38"/>
        <v>0</v>
      </c>
      <c r="CA51" s="8">
        <f t="shared" si="38"/>
        <v>0</v>
      </c>
      <c r="CB51" s="8">
        <f t="shared" si="38"/>
        <v>0</v>
      </c>
      <c r="CC51" s="8">
        <f t="shared" si="38"/>
        <v>0</v>
      </c>
      <c r="CD51" s="8">
        <f t="shared" si="38"/>
        <v>0</v>
      </c>
      <c r="CE51" s="8">
        <f t="shared" si="38"/>
        <v>0</v>
      </c>
      <c r="CF51" s="8">
        <f t="shared" si="38"/>
        <v>0</v>
      </c>
      <c r="CG51" s="8">
        <f t="shared" si="38"/>
        <v>0</v>
      </c>
      <c r="CH51" s="8">
        <f t="shared" si="38"/>
        <v>0</v>
      </c>
      <c r="CI51" s="8">
        <f t="shared" si="38"/>
        <v>0</v>
      </c>
      <c r="CJ51" s="8">
        <f t="shared" ref="CD51:CK66" si="42">$B51*100*(CJ$2&lt;$A51)+100*(1+$B51)*(CJ$2=$A51)</f>
        <v>0</v>
      </c>
      <c r="CK51" s="29">
        <f t="shared" si="42"/>
        <v>0</v>
      </c>
      <c r="CN51" s="8">
        <v>24</v>
      </c>
      <c r="CO51" s="16">
        <v>0.05</v>
      </c>
      <c r="CP51" s="16">
        <v>-1.2018627222525854E-2</v>
      </c>
      <c r="CQ51" s="16">
        <v>1.5217684446360558E-2</v>
      </c>
      <c r="CR51" s="16">
        <v>2.9191992333562577E-2</v>
      </c>
      <c r="CS51" s="16">
        <f t="shared" si="14"/>
        <v>8.2391049557397289E-2</v>
      </c>
    </row>
    <row r="52" spans="1:97" x14ac:dyDescent="0.45">
      <c r="A52" s="7"/>
      <c r="B52" s="57"/>
      <c r="C52" s="17"/>
      <c r="D52" s="17">
        <f t="shared" si="30"/>
        <v>0</v>
      </c>
      <c r="E52" s="17">
        <f t="shared" si="31"/>
        <v>0</v>
      </c>
      <c r="F52" s="17">
        <f t="shared" si="32"/>
        <v>0</v>
      </c>
      <c r="G52" s="18">
        <f t="shared" si="33"/>
        <v>0</v>
      </c>
      <c r="H52" s="18">
        <f>IFERROR(IRR((J52,L52:CK52),0),0)</f>
        <v>0</v>
      </c>
      <c r="I52" s="52">
        <f t="shared" si="34"/>
        <v>0</v>
      </c>
      <c r="J52" s="17">
        <f t="shared" si="35"/>
        <v>0</v>
      </c>
      <c r="K52" s="28">
        <f t="shared" si="36"/>
        <v>0</v>
      </c>
      <c r="L52" s="8">
        <f t="shared" ref="L52:AA66" si="43">$B52*100*(L$2&lt;$A52)+100*(1+$B52)*(L$2=$A52)</f>
        <v>0</v>
      </c>
      <c r="M52" s="8">
        <f t="shared" si="43"/>
        <v>0</v>
      </c>
      <c r="N52" s="8">
        <f t="shared" si="43"/>
        <v>0</v>
      </c>
      <c r="O52" s="8">
        <f t="shared" si="43"/>
        <v>0</v>
      </c>
      <c r="P52" s="8">
        <f t="shared" si="43"/>
        <v>0</v>
      </c>
      <c r="Q52" s="8">
        <f t="shared" si="43"/>
        <v>0</v>
      </c>
      <c r="R52" s="8">
        <f t="shared" si="43"/>
        <v>0</v>
      </c>
      <c r="S52" s="8">
        <f t="shared" si="43"/>
        <v>0</v>
      </c>
      <c r="T52" s="8">
        <f t="shared" si="43"/>
        <v>0</v>
      </c>
      <c r="U52" s="8">
        <f t="shared" si="43"/>
        <v>0</v>
      </c>
      <c r="V52" s="8">
        <f t="shared" si="43"/>
        <v>0</v>
      </c>
      <c r="W52" s="8">
        <f t="shared" si="43"/>
        <v>0</v>
      </c>
      <c r="X52" s="8">
        <f t="shared" si="43"/>
        <v>0</v>
      </c>
      <c r="Y52" s="8">
        <f t="shared" si="43"/>
        <v>0</v>
      </c>
      <c r="Z52" s="8">
        <f t="shared" si="43"/>
        <v>0</v>
      </c>
      <c r="AA52" s="8">
        <f t="shared" si="43"/>
        <v>0</v>
      </c>
      <c r="AB52" s="8">
        <f t="shared" si="39"/>
        <v>0</v>
      </c>
      <c r="AC52" s="8">
        <f t="shared" si="39"/>
        <v>0</v>
      </c>
      <c r="AD52" s="8">
        <f t="shared" si="39"/>
        <v>0</v>
      </c>
      <c r="AE52" s="8">
        <f t="shared" si="39"/>
        <v>0</v>
      </c>
      <c r="AF52" s="8">
        <f t="shared" si="39"/>
        <v>0</v>
      </c>
      <c r="AG52" s="8">
        <f t="shared" si="39"/>
        <v>0</v>
      </c>
      <c r="AH52" s="8">
        <f t="shared" si="39"/>
        <v>0</v>
      </c>
      <c r="AI52" s="8">
        <f t="shared" si="39"/>
        <v>0</v>
      </c>
      <c r="AJ52" s="8">
        <f t="shared" si="39"/>
        <v>0</v>
      </c>
      <c r="AK52" s="8">
        <f t="shared" si="39"/>
        <v>0</v>
      </c>
      <c r="AL52" s="8">
        <f t="shared" si="39"/>
        <v>0</v>
      </c>
      <c r="AM52" s="8">
        <f t="shared" si="39"/>
        <v>0</v>
      </c>
      <c r="AN52" s="8">
        <f t="shared" si="39"/>
        <v>0</v>
      </c>
      <c r="AO52" s="8">
        <f t="shared" si="39"/>
        <v>0</v>
      </c>
      <c r="AP52" s="8">
        <f t="shared" si="40"/>
        <v>0</v>
      </c>
      <c r="AQ52" s="8">
        <f t="shared" si="40"/>
        <v>0</v>
      </c>
      <c r="AR52" s="8">
        <f t="shared" si="40"/>
        <v>0</v>
      </c>
      <c r="AS52" s="8">
        <f t="shared" si="40"/>
        <v>0</v>
      </c>
      <c r="AT52" s="8">
        <f t="shared" si="40"/>
        <v>0</v>
      </c>
      <c r="AU52" s="8">
        <f t="shared" si="40"/>
        <v>0</v>
      </c>
      <c r="AV52" s="8">
        <f t="shared" si="40"/>
        <v>0</v>
      </c>
      <c r="AW52" s="8">
        <f t="shared" si="40"/>
        <v>0</v>
      </c>
      <c r="AX52" s="8">
        <f t="shared" si="40"/>
        <v>0</v>
      </c>
      <c r="AY52" s="8">
        <f t="shared" si="40"/>
        <v>0</v>
      </c>
      <c r="AZ52" s="8">
        <f t="shared" si="37"/>
        <v>0</v>
      </c>
      <c r="BA52" s="8">
        <f t="shared" si="37"/>
        <v>0</v>
      </c>
      <c r="BB52" s="8">
        <f t="shared" si="37"/>
        <v>0</v>
      </c>
      <c r="BC52" s="8">
        <f t="shared" si="37"/>
        <v>0</v>
      </c>
      <c r="BD52" s="8">
        <f t="shared" si="37"/>
        <v>0</v>
      </c>
      <c r="BE52" s="8">
        <f t="shared" si="37"/>
        <v>0</v>
      </c>
      <c r="BF52" s="8">
        <f t="shared" si="37"/>
        <v>0</v>
      </c>
      <c r="BG52" s="8">
        <f t="shared" si="37"/>
        <v>0</v>
      </c>
      <c r="BH52" s="8">
        <f t="shared" si="41"/>
        <v>0</v>
      </c>
      <c r="BI52" s="8">
        <f t="shared" si="41"/>
        <v>0</v>
      </c>
      <c r="BJ52" s="8">
        <f t="shared" si="41"/>
        <v>0</v>
      </c>
      <c r="BK52" s="8">
        <f t="shared" si="41"/>
        <v>0</v>
      </c>
      <c r="BL52" s="8">
        <f t="shared" si="41"/>
        <v>0</v>
      </c>
      <c r="BM52" s="8">
        <f t="shared" si="41"/>
        <v>0</v>
      </c>
      <c r="BN52" s="8">
        <f t="shared" si="41"/>
        <v>0</v>
      </c>
      <c r="BO52" s="8">
        <f t="shared" si="41"/>
        <v>0</v>
      </c>
      <c r="BP52" s="8">
        <f t="shared" si="41"/>
        <v>0</v>
      </c>
      <c r="BQ52" s="8">
        <f t="shared" si="41"/>
        <v>0</v>
      </c>
      <c r="BR52" s="8">
        <f t="shared" si="41"/>
        <v>0</v>
      </c>
      <c r="BS52" s="8">
        <f t="shared" si="41"/>
        <v>0</v>
      </c>
      <c r="BT52" s="8">
        <f t="shared" si="38"/>
        <v>0</v>
      </c>
      <c r="BU52" s="8">
        <f t="shared" si="38"/>
        <v>0</v>
      </c>
      <c r="BV52" s="8">
        <f t="shared" si="38"/>
        <v>0</v>
      </c>
      <c r="BW52" s="8">
        <f t="shared" si="38"/>
        <v>0</v>
      </c>
      <c r="BX52" s="8">
        <f t="shared" si="38"/>
        <v>0</v>
      </c>
      <c r="BY52" s="8">
        <f t="shared" si="38"/>
        <v>0</v>
      </c>
      <c r="BZ52" s="8">
        <f t="shared" si="38"/>
        <v>0</v>
      </c>
      <c r="CA52" s="8">
        <f t="shared" si="38"/>
        <v>0</v>
      </c>
      <c r="CB52" s="8">
        <f t="shared" si="38"/>
        <v>0</v>
      </c>
      <c r="CC52" s="8">
        <f t="shared" si="38"/>
        <v>0</v>
      </c>
      <c r="CD52" s="8">
        <f t="shared" si="42"/>
        <v>0</v>
      </c>
      <c r="CE52" s="8">
        <f t="shared" si="42"/>
        <v>0</v>
      </c>
      <c r="CF52" s="8">
        <f t="shared" si="42"/>
        <v>0</v>
      </c>
      <c r="CG52" s="8">
        <f t="shared" si="42"/>
        <v>0</v>
      </c>
      <c r="CH52" s="8">
        <f t="shared" si="42"/>
        <v>0</v>
      </c>
      <c r="CI52" s="8">
        <f t="shared" si="42"/>
        <v>0</v>
      </c>
      <c r="CJ52" s="8">
        <f t="shared" si="42"/>
        <v>0</v>
      </c>
      <c r="CK52" s="29">
        <f t="shared" si="42"/>
        <v>0</v>
      </c>
      <c r="CN52" s="8">
        <v>24.5</v>
      </c>
      <c r="CO52" s="16">
        <v>0.05</v>
      </c>
      <c r="CP52" s="16">
        <v>-1.1887545762510715E-2</v>
      </c>
      <c r="CQ52" s="16">
        <v>1.5281044742725722E-2</v>
      </c>
      <c r="CR52" s="16">
        <v>2.9567656006066756E-2</v>
      </c>
      <c r="CS52" s="16">
        <f t="shared" si="14"/>
        <v>8.296115498628176E-2</v>
      </c>
    </row>
    <row r="53" spans="1:97" x14ac:dyDescent="0.45">
      <c r="A53" s="7"/>
      <c r="B53" s="57"/>
      <c r="C53" s="17"/>
      <c r="D53" s="17">
        <f t="shared" si="30"/>
        <v>0</v>
      </c>
      <c r="E53" s="17">
        <f t="shared" si="31"/>
        <v>0</v>
      </c>
      <c r="F53" s="17">
        <f t="shared" si="32"/>
        <v>0</v>
      </c>
      <c r="G53" s="18">
        <f t="shared" si="33"/>
        <v>0</v>
      </c>
      <c r="H53" s="18">
        <f>IFERROR(IRR((J53,L53:CK53),0),0)</f>
        <v>0</v>
      </c>
      <c r="I53" s="52">
        <f t="shared" si="34"/>
        <v>0</v>
      </c>
      <c r="J53" s="17">
        <f t="shared" si="35"/>
        <v>0</v>
      </c>
      <c r="K53" s="28">
        <f t="shared" si="36"/>
        <v>0</v>
      </c>
      <c r="L53" s="8">
        <f t="shared" si="43"/>
        <v>0</v>
      </c>
      <c r="M53" s="8">
        <f t="shared" si="43"/>
        <v>0</v>
      </c>
      <c r="N53" s="8">
        <f t="shared" si="43"/>
        <v>0</v>
      </c>
      <c r="O53" s="8">
        <f t="shared" si="43"/>
        <v>0</v>
      </c>
      <c r="P53" s="8">
        <f t="shared" si="43"/>
        <v>0</v>
      </c>
      <c r="Q53" s="8">
        <f t="shared" si="43"/>
        <v>0</v>
      </c>
      <c r="R53" s="8">
        <f t="shared" si="43"/>
        <v>0</v>
      </c>
      <c r="S53" s="8">
        <f t="shared" si="43"/>
        <v>0</v>
      </c>
      <c r="T53" s="8">
        <f t="shared" si="43"/>
        <v>0</v>
      </c>
      <c r="U53" s="8">
        <f t="shared" si="43"/>
        <v>0</v>
      </c>
      <c r="V53" s="8">
        <f t="shared" si="43"/>
        <v>0</v>
      </c>
      <c r="W53" s="8">
        <f t="shared" si="43"/>
        <v>0</v>
      </c>
      <c r="X53" s="8">
        <f t="shared" si="43"/>
        <v>0</v>
      </c>
      <c r="Y53" s="8">
        <f t="shared" si="43"/>
        <v>0</v>
      </c>
      <c r="Z53" s="8">
        <f t="shared" si="43"/>
        <v>0</v>
      </c>
      <c r="AA53" s="8">
        <f t="shared" si="43"/>
        <v>0</v>
      </c>
      <c r="AB53" s="8">
        <f t="shared" si="39"/>
        <v>0</v>
      </c>
      <c r="AC53" s="8">
        <f t="shared" si="39"/>
        <v>0</v>
      </c>
      <c r="AD53" s="8">
        <f t="shared" si="39"/>
        <v>0</v>
      </c>
      <c r="AE53" s="8">
        <f t="shared" si="39"/>
        <v>0</v>
      </c>
      <c r="AF53" s="8">
        <f t="shared" si="39"/>
        <v>0</v>
      </c>
      <c r="AG53" s="8">
        <f t="shared" si="39"/>
        <v>0</v>
      </c>
      <c r="AH53" s="8">
        <f t="shared" si="39"/>
        <v>0</v>
      </c>
      <c r="AI53" s="8">
        <f t="shared" si="39"/>
        <v>0</v>
      </c>
      <c r="AJ53" s="8">
        <f t="shared" si="39"/>
        <v>0</v>
      </c>
      <c r="AK53" s="8">
        <f t="shared" si="39"/>
        <v>0</v>
      </c>
      <c r="AL53" s="8">
        <f t="shared" si="39"/>
        <v>0</v>
      </c>
      <c r="AM53" s="8">
        <f t="shared" si="39"/>
        <v>0</v>
      </c>
      <c r="AN53" s="8">
        <f t="shared" si="39"/>
        <v>0</v>
      </c>
      <c r="AO53" s="8">
        <f t="shared" si="39"/>
        <v>0</v>
      </c>
      <c r="AP53" s="8">
        <f t="shared" si="40"/>
        <v>0</v>
      </c>
      <c r="AQ53" s="8">
        <f t="shared" si="40"/>
        <v>0</v>
      </c>
      <c r="AR53" s="8">
        <f t="shared" si="40"/>
        <v>0</v>
      </c>
      <c r="AS53" s="8">
        <f t="shared" si="40"/>
        <v>0</v>
      </c>
      <c r="AT53" s="8">
        <f t="shared" si="40"/>
        <v>0</v>
      </c>
      <c r="AU53" s="8">
        <f t="shared" si="40"/>
        <v>0</v>
      </c>
      <c r="AV53" s="8">
        <f t="shared" si="40"/>
        <v>0</v>
      </c>
      <c r="AW53" s="8">
        <f t="shared" si="40"/>
        <v>0</v>
      </c>
      <c r="AX53" s="8">
        <f t="shared" si="40"/>
        <v>0</v>
      </c>
      <c r="AY53" s="8">
        <f t="shared" si="40"/>
        <v>0</v>
      </c>
      <c r="AZ53" s="8">
        <f t="shared" si="37"/>
        <v>0</v>
      </c>
      <c r="BA53" s="8">
        <f t="shared" si="37"/>
        <v>0</v>
      </c>
      <c r="BB53" s="8">
        <f t="shared" si="37"/>
        <v>0</v>
      </c>
      <c r="BC53" s="8">
        <f t="shared" si="37"/>
        <v>0</v>
      </c>
      <c r="BD53" s="8">
        <f t="shared" si="37"/>
        <v>0</v>
      </c>
      <c r="BE53" s="8">
        <f t="shared" si="37"/>
        <v>0</v>
      </c>
      <c r="BF53" s="8">
        <f t="shared" si="37"/>
        <v>0</v>
      </c>
      <c r="BG53" s="8">
        <f t="shared" si="37"/>
        <v>0</v>
      </c>
      <c r="BH53" s="8">
        <f t="shared" si="41"/>
        <v>0</v>
      </c>
      <c r="BI53" s="8">
        <f t="shared" si="41"/>
        <v>0</v>
      </c>
      <c r="BJ53" s="8">
        <f t="shared" si="41"/>
        <v>0</v>
      </c>
      <c r="BK53" s="8">
        <f t="shared" si="41"/>
        <v>0</v>
      </c>
      <c r="BL53" s="8">
        <f t="shared" si="41"/>
        <v>0</v>
      </c>
      <c r="BM53" s="8">
        <f t="shared" si="41"/>
        <v>0</v>
      </c>
      <c r="BN53" s="8">
        <f t="shared" si="41"/>
        <v>0</v>
      </c>
      <c r="BO53" s="8">
        <f t="shared" si="41"/>
        <v>0</v>
      </c>
      <c r="BP53" s="8">
        <f t="shared" si="41"/>
        <v>0</v>
      </c>
      <c r="BQ53" s="8">
        <f t="shared" si="41"/>
        <v>0</v>
      </c>
      <c r="BR53" s="8">
        <f t="shared" si="41"/>
        <v>0</v>
      </c>
      <c r="BS53" s="8">
        <f t="shared" si="41"/>
        <v>0</v>
      </c>
      <c r="BT53" s="8">
        <f t="shared" si="38"/>
        <v>0</v>
      </c>
      <c r="BU53" s="8">
        <f t="shared" si="38"/>
        <v>0</v>
      </c>
      <c r="BV53" s="8">
        <f t="shared" si="38"/>
        <v>0</v>
      </c>
      <c r="BW53" s="8">
        <f t="shared" si="38"/>
        <v>0</v>
      </c>
      <c r="BX53" s="8">
        <f t="shared" si="38"/>
        <v>0</v>
      </c>
      <c r="BY53" s="8">
        <f t="shared" si="38"/>
        <v>0</v>
      </c>
      <c r="BZ53" s="8">
        <f t="shared" si="38"/>
        <v>0</v>
      </c>
      <c r="CA53" s="8">
        <f t="shared" si="38"/>
        <v>0</v>
      </c>
      <c r="CB53" s="8">
        <f t="shared" si="38"/>
        <v>0</v>
      </c>
      <c r="CC53" s="8">
        <f t="shared" si="38"/>
        <v>0</v>
      </c>
      <c r="CD53" s="8">
        <f t="shared" si="42"/>
        <v>0</v>
      </c>
      <c r="CE53" s="8">
        <f t="shared" si="42"/>
        <v>0</v>
      </c>
      <c r="CF53" s="8">
        <f t="shared" si="42"/>
        <v>0</v>
      </c>
      <c r="CG53" s="8">
        <f t="shared" si="42"/>
        <v>0</v>
      </c>
      <c r="CH53" s="8">
        <f t="shared" si="42"/>
        <v>0</v>
      </c>
      <c r="CI53" s="8">
        <f t="shared" si="42"/>
        <v>0</v>
      </c>
      <c r="CJ53" s="8">
        <f t="shared" si="42"/>
        <v>0</v>
      </c>
      <c r="CK53" s="29">
        <f t="shared" si="42"/>
        <v>0</v>
      </c>
      <c r="CN53" s="8">
        <v>25</v>
      </c>
      <c r="CO53" s="16">
        <v>0.05</v>
      </c>
      <c r="CP53" s="16">
        <v>-1.1758601580527189E-2</v>
      </c>
      <c r="CQ53" s="16">
        <v>1.5339046674732664E-2</v>
      </c>
      <c r="CR53" s="16">
        <v>2.9935955039579683E-2</v>
      </c>
      <c r="CS53" s="16">
        <f t="shared" si="14"/>
        <v>8.3516400133785168E-2</v>
      </c>
    </row>
    <row r="54" spans="1:97" x14ac:dyDescent="0.45">
      <c r="A54" s="7"/>
      <c r="B54" s="57"/>
      <c r="C54" s="17"/>
      <c r="D54" s="17">
        <f t="shared" si="30"/>
        <v>0</v>
      </c>
      <c r="E54" s="17">
        <f t="shared" si="31"/>
        <v>0</v>
      </c>
      <c r="F54" s="17">
        <f t="shared" si="32"/>
        <v>0</v>
      </c>
      <c r="G54" s="18">
        <f t="shared" si="33"/>
        <v>0</v>
      </c>
      <c r="H54" s="18">
        <f>IFERROR(IRR((J54,L54:CK54),0),0)</f>
        <v>0</v>
      </c>
      <c r="I54" s="52">
        <f t="shared" si="34"/>
        <v>0</v>
      </c>
      <c r="J54" s="17">
        <f t="shared" si="35"/>
        <v>0</v>
      </c>
      <c r="K54" s="28">
        <f t="shared" si="36"/>
        <v>0</v>
      </c>
      <c r="L54" s="8">
        <f t="shared" si="43"/>
        <v>0</v>
      </c>
      <c r="M54" s="8">
        <f t="shared" si="43"/>
        <v>0</v>
      </c>
      <c r="N54" s="8">
        <f t="shared" si="43"/>
        <v>0</v>
      </c>
      <c r="O54" s="8">
        <f t="shared" si="43"/>
        <v>0</v>
      </c>
      <c r="P54" s="8">
        <f t="shared" si="43"/>
        <v>0</v>
      </c>
      <c r="Q54" s="8">
        <f t="shared" si="43"/>
        <v>0</v>
      </c>
      <c r="R54" s="8">
        <f t="shared" si="43"/>
        <v>0</v>
      </c>
      <c r="S54" s="8">
        <f t="shared" si="43"/>
        <v>0</v>
      </c>
      <c r="T54" s="8">
        <f t="shared" si="43"/>
        <v>0</v>
      </c>
      <c r="U54" s="8">
        <f t="shared" si="43"/>
        <v>0</v>
      </c>
      <c r="V54" s="8">
        <f t="shared" si="43"/>
        <v>0</v>
      </c>
      <c r="W54" s="8">
        <f t="shared" si="43"/>
        <v>0</v>
      </c>
      <c r="X54" s="8">
        <f t="shared" si="43"/>
        <v>0</v>
      </c>
      <c r="Y54" s="8">
        <f t="shared" si="43"/>
        <v>0</v>
      </c>
      <c r="Z54" s="8">
        <f t="shared" si="43"/>
        <v>0</v>
      </c>
      <c r="AA54" s="8">
        <f t="shared" si="43"/>
        <v>0</v>
      </c>
      <c r="AB54" s="8">
        <f t="shared" si="39"/>
        <v>0</v>
      </c>
      <c r="AC54" s="8">
        <f t="shared" si="39"/>
        <v>0</v>
      </c>
      <c r="AD54" s="8">
        <f t="shared" si="39"/>
        <v>0</v>
      </c>
      <c r="AE54" s="8">
        <f t="shared" si="39"/>
        <v>0</v>
      </c>
      <c r="AF54" s="8">
        <f t="shared" si="39"/>
        <v>0</v>
      </c>
      <c r="AG54" s="8">
        <f t="shared" si="39"/>
        <v>0</v>
      </c>
      <c r="AH54" s="8">
        <f t="shared" si="39"/>
        <v>0</v>
      </c>
      <c r="AI54" s="8">
        <f t="shared" si="39"/>
        <v>0</v>
      </c>
      <c r="AJ54" s="8">
        <f t="shared" si="39"/>
        <v>0</v>
      </c>
      <c r="AK54" s="8">
        <f t="shared" si="39"/>
        <v>0</v>
      </c>
      <c r="AL54" s="8">
        <f t="shared" si="39"/>
        <v>0</v>
      </c>
      <c r="AM54" s="8">
        <f t="shared" si="39"/>
        <v>0</v>
      </c>
      <c r="AN54" s="8">
        <f t="shared" si="39"/>
        <v>0</v>
      </c>
      <c r="AO54" s="8">
        <f t="shared" si="39"/>
        <v>0</v>
      </c>
      <c r="AP54" s="8">
        <f t="shared" si="40"/>
        <v>0</v>
      </c>
      <c r="AQ54" s="8">
        <f t="shared" si="40"/>
        <v>0</v>
      </c>
      <c r="AR54" s="8">
        <f t="shared" si="40"/>
        <v>0</v>
      </c>
      <c r="AS54" s="8">
        <f t="shared" si="40"/>
        <v>0</v>
      </c>
      <c r="AT54" s="8">
        <f t="shared" si="40"/>
        <v>0</v>
      </c>
      <c r="AU54" s="8">
        <f t="shared" si="40"/>
        <v>0</v>
      </c>
      <c r="AV54" s="8">
        <f t="shared" si="40"/>
        <v>0</v>
      </c>
      <c r="AW54" s="8">
        <f t="shared" si="40"/>
        <v>0</v>
      </c>
      <c r="AX54" s="8">
        <f t="shared" si="40"/>
        <v>0</v>
      </c>
      <c r="AY54" s="8">
        <f t="shared" si="40"/>
        <v>0</v>
      </c>
      <c r="AZ54" s="8">
        <f t="shared" si="37"/>
        <v>0</v>
      </c>
      <c r="BA54" s="8">
        <f t="shared" si="37"/>
        <v>0</v>
      </c>
      <c r="BB54" s="8">
        <f t="shared" si="37"/>
        <v>0</v>
      </c>
      <c r="BC54" s="8">
        <f t="shared" si="37"/>
        <v>0</v>
      </c>
      <c r="BD54" s="8">
        <f t="shared" si="37"/>
        <v>0</v>
      </c>
      <c r="BE54" s="8">
        <f t="shared" si="37"/>
        <v>0</v>
      </c>
      <c r="BF54" s="8">
        <f t="shared" si="37"/>
        <v>0</v>
      </c>
      <c r="BG54" s="8">
        <f t="shared" si="37"/>
        <v>0</v>
      </c>
      <c r="BH54" s="8">
        <f t="shared" si="41"/>
        <v>0</v>
      </c>
      <c r="BI54" s="8">
        <f t="shared" si="41"/>
        <v>0</v>
      </c>
      <c r="BJ54" s="8">
        <f t="shared" si="41"/>
        <v>0</v>
      </c>
      <c r="BK54" s="8">
        <f t="shared" si="41"/>
        <v>0</v>
      </c>
      <c r="BL54" s="8">
        <f t="shared" si="41"/>
        <v>0</v>
      </c>
      <c r="BM54" s="8">
        <f t="shared" si="41"/>
        <v>0</v>
      </c>
      <c r="BN54" s="8">
        <f t="shared" si="41"/>
        <v>0</v>
      </c>
      <c r="BO54" s="8">
        <f t="shared" si="41"/>
        <v>0</v>
      </c>
      <c r="BP54" s="8">
        <f t="shared" si="41"/>
        <v>0</v>
      </c>
      <c r="BQ54" s="8">
        <f t="shared" si="41"/>
        <v>0</v>
      </c>
      <c r="BR54" s="8">
        <f t="shared" si="41"/>
        <v>0</v>
      </c>
      <c r="BS54" s="8">
        <f t="shared" si="41"/>
        <v>0</v>
      </c>
      <c r="BT54" s="8">
        <f t="shared" si="38"/>
        <v>0</v>
      </c>
      <c r="BU54" s="8">
        <f t="shared" si="38"/>
        <v>0</v>
      </c>
      <c r="BV54" s="8">
        <f t="shared" si="38"/>
        <v>0</v>
      </c>
      <c r="BW54" s="8">
        <f t="shared" si="38"/>
        <v>0</v>
      </c>
      <c r="BX54" s="8">
        <f t="shared" si="38"/>
        <v>0</v>
      </c>
      <c r="BY54" s="8">
        <f t="shared" si="38"/>
        <v>0</v>
      </c>
      <c r="BZ54" s="8">
        <f t="shared" si="38"/>
        <v>0</v>
      </c>
      <c r="CA54" s="8">
        <f t="shared" si="38"/>
        <v>0</v>
      </c>
      <c r="CB54" s="8">
        <f t="shared" si="38"/>
        <v>0</v>
      </c>
      <c r="CC54" s="8">
        <f t="shared" si="38"/>
        <v>0</v>
      </c>
      <c r="CD54" s="8">
        <f t="shared" si="42"/>
        <v>0</v>
      </c>
      <c r="CE54" s="8">
        <f t="shared" si="42"/>
        <v>0</v>
      </c>
      <c r="CF54" s="8">
        <f t="shared" si="42"/>
        <v>0</v>
      </c>
      <c r="CG54" s="8">
        <f t="shared" si="42"/>
        <v>0</v>
      </c>
      <c r="CH54" s="8">
        <f t="shared" si="42"/>
        <v>0</v>
      </c>
      <c r="CI54" s="8">
        <f t="shared" si="42"/>
        <v>0</v>
      </c>
      <c r="CJ54" s="8">
        <f t="shared" si="42"/>
        <v>0</v>
      </c>
      <c r="CK54" s="29">
        <f t="shared" si="42"/>
        <v>0</v>
      </c>
      <c r="CN54" s="8">
        <v>25.5</v>
      </c>
      <c r="CO54" s="16">
        <v>0.05</v>
      </c>
      <c r="CP54" s="16">
        <v>-1.1631753466228198E-2</v>
      </c>
      <c r="CQ54" s="16">
        <v>1.5391882390867733E-2</v>
      </c>
      <c r="CR54" s="16">
        <v>3.0296996022618577E-2</v>
      </c>
      <c r="CS54" s="16">
        <f t="shared" si="14"/>
        <v>8.4057124947258116E-2</v>
      </c>
    </row>
    <row r="55" spans="1:97" x14ac:dyDescent="0.45">
      <c r="A55" s="7"/>
      <c r="B55" s="57"/>
      <c r="C55" s="17"/>
      <c r="D55" s="17">
        <f t="shared" si="30"/>
        <v>0</v>
      </c>
      <c r="E55" s="17">
        <f t="shared" si="31"/>
        <v>0</v>
      </c>
      <c r="F55" s="17">
        <f t="shared" si="32"/>
        <v>0</v>
      </c>
      <c r="G55" s="18">
        <f t="shared" si="33"/>
        <v>0</v>
      </c>
      <c r="H55" s="18">
        <f>IFERROR(IRR((J55,L55:CK55),0),0)</f>
        <v>0</v>
      </c>
      <c r="I55" s="52">
        <f t="shared" si="34"/>
        <v>0</v>
      </c>
      <c r="J55" s="17">
        <f t="shared" si="35"/>
        <v>0</v>
      </c>
      <c r="K55" s="28">
        <f t="shared" si="36"/>
        <v>0</v>
      </c>
      <c r="L55" s="8">
        <f t="shared" si="43"/>
        <v>0</v>
      </c>
      <c r="M55" s="8">
        <f t="shared" si="43"/>
        <v>0</v>
      </c>
      <c r="N55" s="8">
        <f t="shared" si="43"/>
        <v>0</v>
      </c>
      <c r="O55" s="8">
        <f t="shared" si="43"/>
        <v>0</v>
      </c>
      <c r="P55" s="8">
        <f t="shared" si="43"/>
        <v>0</v>
      </c>
      <c r="Q55" s="8">
        <f t="shared" si="43"/>
        <v>0</v>
      </c>
      <c r="R55" s="8">
        <f t="shared" si="43"/>
        <v>0</v>
      </c>
      <c r="S55" s="8">
        <f t="shared" si="43"/>
        <v>0</v>
      </c>
      <c r="T55" s="8">
        <f t="shared" si="43"/>
        <v>0</v>
      </c>
      <c r="U55" s="8">
        <f t="shared" si="43"/>
        <v>0</v>
      </c>
      <c r="V55" s="8">
        <f t="shared" si="43"/>
        <v>0</v>
      </c>
      <c r="W55" s="8">
        <f t="shared" si="43"/>
        <v>0</v>
      </c>
      <c r="X55" s="8">
        <f t="shared" si="43"/>
        <v>0</v>
      </c>
      <c r="Y55" s="8">
        <f t="shared" si="43"/>
        <v>0</v>
      </c>
      <c r="Z55" s="8">
        <f t="shared" si="43"/>
        <v>0</v>
      </c>
      <c r="AA55" s="8">
        <f t="shared" si="43"/>
        <v>0</v>
      </c>
      <c r="AB55" s="8">
        <f t="shared" si="39"/>
        <v>0</v>
      </c>
      <c r="AC55" s="8">
        <f t="shared" si="39"/>
        <v>0</v>
      </c>
      <c r="AD55" s="8">
        <f t="shared" si="39"/>
        <v>0</v>
      </c>
      <c r="AE55" s="8">
        <f t="shared" si="39"/>
        <v>0</v>
      </c>
      <c r="AF55" s="8">
        <f t="shared" si="39"/>
        <v>0</v>
      </c>
      <c r="AG55" s="8">
        <f t="shared" si="39"/>
        <v>0</v>
      </c>
      <c r="AH55" s="8">
        <f t="shared" si="39"/>
        <v>0</v>
      </c>
      <c r="AI55" s="8">
        <f t="shared" si="39"/>
        <v>0</v>
      </c>
      <c r="AJ55" s="8">
        <f t="shared" si="39"/>
        <v>0</v>
      </c>
      <c r="AK55" s="8">
        <f t="shared" si="39"/>
        <v>0</v>
      </c>
      <c r="AL55" s="8">
        <f t="shared" si="39"/>
        <v>0</v>
      </c>
      <c r="AM55" s="8">
        <f t="shared" si="39"/>
        <v>0</v>
      </c>
      <c r="AN55" s="8">
        <f t="shared" si="39"/>
        <v>0</v>
      </c>
      <c r="AO55" s="8">
        <f t="shared" si="39"/>
        <v>0</v>
      </c>
      <c r="AP55" s="8">
        <f t="shared" si="40"/>
        <v>0</v>
      </c>
      <c r="AQ55" s="8">
        <f t="shared" si="40"/>
        <v>0</v>
      </c>
      <c r="AR55" s="8">
        <f t="shared" si="40"/>
        <v>0</v>
      </c>
      <c r="AS55" s="8">
        <f t="shared" si="40"/>
        <v>0</v>
      </c>
      <c r="AT55" s="8">
        <f t="shared" si="40"/>
        <v>0</v>
      </c>
      <c r="AU55" s="8">
        <f t="shared" si="40"/>
        <v>0</v>
      </c>
      <c r="AV55" s="8">
        <f t="shared" si="40"/>
        <v>0</v>
      </c>
      <c r="AW55" s="8">
        <f t="shared" si="40"/>
        <v>0</v>
      </c>
      <c r="AX55" s="8">
        <f t="shared" si="40"/>
        <v>0</v>
      </c>
      <c r="AY55" s="8">
        <f t="shared" si="40"/>
        <v>0</v>
      </c>
      <c r="AZ55" s="8">
        <f t="shared" si="37"/>
        <v>0</v>
      </c>
      <c r="BA55" s="8">
        <f t="shared" si="37"/>
        <v>0</v>
      </c>
      <c r="BB55" s="8">
        <f t="shared" si="37"/>
        <v>0</v>
      </c>
      <c r="BC55" s="8">
        <f t="shared" si="37"/>
        <v>0</v>
      </c>
      <c r="BD55" s="8">
        <f t="shared" si="37"/>
        <v>0</v>
      </c>
      <c r="BE55" s="8">
        <f t="shared" si="37"/>
        <v>0</v>
      </c>
      <c r="BF55" s="8">
        <f t="shared" si="37"/>
        <v>0</v>
      </c>
      <c r="BG55" s="8">
        <f t="shared" si="37"/>
        <v>0</v>
      </c>
      <c r="BH55" s="8">
        <f t="shared" si="41"/>
        <v>0</v>
      </c>
      <c r="BI55" s="8">
        <f t="shared" si="41"/>
        <v>0</v>
      </c>
      <c r="BJ55" s="8">
        <f t="shared" si="41"/>
        <v>0</v>
      </c>
      <c r="BK55" s="8">
        <f t="shared" si="41"/>
        <v>0</v>
      </c>
      <c r="BL55" s="8">
        <f t="shared" si="41"/>
        <v>0</v>
      </c>
      <c r="BM55" s="8">
        <f t="shared" si="41"/>
        <v>0</v>
      </c>
      <c r="BN55" s="8">
        <f t="shared" si="41"/>
        <v>0</v>
      </c>
      <c r="BO55" s="8">
        <f t="shared" si="41"/>
        <v>0</v>
      </c>
      <c r="BP55" s="8">
        <f t="shared" si="41"/>
        <v>0</v>
      </c>
      <c r="BQ55" s="8">
        <f t="shared" si="41"/>
        <v>0</v>
      </c>
      <c r="BR55" s="8">
        <f t="shared" si="41"/>
        <v>0</v>
      </c>
      <c r="BS55" s="8">
        <f t="shared" si="41"/>
        <v>0</v>
      </c>
      <c r="BT55" s="8">
        <f t="shared" si="38"/>
        <v>0</v>
      </c>
      <c r="BU55" s="8">
        <f t="shared" si="38"/>
        <v>0</v>
      </c>
      <c r="BV55" s="8">
        <f t="shared" si="38"/>
        <v>0</v>
      </c>
      <c r="BW55" s="8">
        <f t="shared" si="38"/>
        <v>0</v>
      </c>
      <c r="BX55" s="8">
        <f t="shared" si="38"/>
        <v>0</v>
      </c>
      <c r="BY55" s="8">
        <f t="shared" si="38"/>
        <v>0</v>
      </c>
      <c r="BZ55" s="8">
        <f t="shared" si="38"/>
        <v>0</v>
      </c>
      <c r="CA55" s="8">
        <f t="shared" si="38"/>
        <v>0</v>
      </c>
      <c r="CB55" s="8">
        <f t="shared" si="38"/>
        <v>0</v>
      </c>
      <c r="CC55" s="8">
        <f t="shared" si="38"/>
        <v>0</v>
      </c>
      <c r="CD55" s="8">
        <f t="shared" si="42"/>
        <v>0</v>
      </c>
      <c r="CE55" s="8">
        <f t="shared" si="42"/>
        <v>0</v>
      </c>
      <c r="CF55" s="8">
        <f t="shared" si="42"/>
        <v>0</v>
      </c>
      <c r="CG55" s="8">
        <f t="shared" si="42"/>
        <v>0</v>
      </c>
      <c r="CH55" s="8">
        <f t="shared" si="42"/>
        <v>0</v>
      </c>
      <c r="CI55" s="8">
        <f t="shared" si="42"/>
        <v>0</v>
      </c>
      <c r="CJ55" s="8">
        <f t="shared" si="42"/>
        <v>0</v>
      </c>
      <c r="CK55" s="29">
        <f t="shared" si="42"/>
        <v>0</v>
      </c>
      <c r="CN55" s="8">
        <v>26</v>
      </c>
      <c r="CO55" s="16">
        <v>0.05</v>
      </c>
      <c r="CP55" s="16">
        <v>-1.1506961078890361E-2</v>
      </c>
      <c r="CQ55" s="16">
        <v>1.5439738049266606E-2</v>
      </c>
      <c r="CR55" s="16">
        <v>3.0650884118152338E-2</v>
      </c>
      <c r="CS55" s="16">
        <f t="shared" si="14"/>
        <v>8.4583661088528578E-2</v>
      </c>
    </row>
    <row r="56" spans="1:97" x14ac:dyDescent="0.45">
      <c r="A56" s="7"/>
      <c r="B56" s="57"/>
      <c r="C56" s="17"/>
      <c r="D56" s="17">
        <f t="shared" si="30"/>
        <v>0</v>
      </c>
      <c r="E56" s="17">
        <f t="shared" si="31"/>
        <v>0</v>
      </c>
      <c r="F56" s="17">
        <f t="shared" si="32"/>
        <v>0</v>
      </c>
      <c r="G56" s="18">
        <f t="shared" si="33"/>
        <v>0</v>
      </c>
      <c r="H56" s="18">
        <f>IFERROR(IRR((J56,L56:CK56),0),0)</f>
        <v>0</v>
      </c>
      <c r="I56" s="52">
        <f t="shared" si="34"/>
        <v>0</v>
      </c>
      <c r="J56" s="17">
        <f t="shared" si="35"/>
        <v>0</v>
      </c>
      <c r="K56" s="28">
        <f t="shared" si="36"/>
        <v>0</v>
      </c>
      <c r="L56" s="8">
        <f t="shared" si="43"/>
        <v>0</v>
      </c>
      <c r="M56" s="8">
        <f t="shared" si="43"/>
        <v>0</v>
      </c>
      <c r="N56" s="8">
        <f t="shared" si="43"/>
        <v>0</v>
      </c>
      <c r="O56" s="8">
        <f t="shared" si="43"/>
        <v>0</v>
      </c>
      <c r="P56" s="8">
        <f t="shared" si="43"/>
        <v>0</v>
      </c>
      <c r="Q56" s="8">
        <f t="shared" si="43"/>
        <v>0</v>
      </c>
      <c r="R56" s="8">
        <f t="shared" si="43"/>
        <v>0</v>
      </c>
      <c r="S56" s="8">
        <f t="shared" si="43"/>
        <v>0</v>
      </c>
      <c r="T56" s="8">
        <f t="shared" si="43"/>
        <v>0</v>
      </c>
      <c r="U56" s="8">
        <f t="shared" si="43"/>
        <v>0</v>
      </c>
      <c r="V56" s="8">
        <f t="shared" si="43"/>
        <v>0</v>
      </c>
      <c r="W56" s="8">
        <f t="shared" si="43"/>
        <v>0</v>
      </c>
      <c r="X56" s="8">
        <f t="shared" si="43"/>
        <v>0</v>
      </c>
      <c r="Y56" s="8">
        <f t="shared" si="43"/>
        <v>0</v>
      </c>
      <c r="Z56" s="8">
        <f t="shared" si="43"/>
        <v>0</v>
      </c>
      <c r="AA56" s="8">
        <f t="shared" si="43"/>
        <v>0</v>
      </c>
      <c r="AB56" s="8">
        <f t="shared" si="39"/>
        <v>0</v>
      </c>
      <c r="AC56" s="8">
        <f t="shared" si="39"/>
        <v>0</v>
      </c>
      <c r="AD56" s="8">
        <f t="shared" si="39"/>
        <v>0</v>
      </c>
      <c r="AE56" s="8">
        <f t="shared" si="39"/>
        <v>0</v>
      </c>
      <c r="AF56" s="8">
        <f t="shared" si="39"/>
        <v>0</v>
      </c>
      <c r="AG56" s="8">
        <f t="shared" si="39"/>
        <v>0</v>
      </c>
      <c r="AH56" s="8">
        <f t="shared" si="39"/>
        <v>0</v>
      </c>
      <c r="AI56" s="8">
        <f t="shared" si="39"/>
        <v>0</v>
      </c>
      <c r="AJ56" s="8">
        <f t="shared" si="39"/>
        <v>0</v>
      </c>
      <c r="AK56" s="8">
        <f t="shared" si="39"/>
        <v>0</v>
      </c>
      <c r="AL56" s="8">
        <f t="shared" si="39"/>
        <v>0</v>
      </c>
      <c r="AM56" s="8">
        <f t="shared" si="39"/>
        <v>0</v>
      </c>
      <c r="AN56" s="8">
        <f t="shared" si="39"/>
        <v>0</v>
      </c>
      <c r="AO56" s="8">
        <f t="shared" si="39"/>
        <v>0</v>
      </c>
      <c r="AP56" s="8">
        <f t="shared" si="40"/>
        <v>0</v>
      </c>
      <c r="AQ56" s="8">
        <f t="shared" si="40"/>
        <v>0</v>
      </c>
      <c r="AR56" s="8">
        <f t="shared" si="40"/>
        <v>0</v>
      </c>
      <c r="AS56" s="8">
        <f t="shared" si="40"/>
        <v>0</v>
      </c>
      <c r="AT56" s="8">
        <f t="shared" si="40"/>
        <v>0</v>
      </c>
      <c r="AU56" s="8">
        <f t="shared" si="40"/>
        <v>0</v>
      </c>
      <c r="AV56" s="8">
        <f t="shared" si="40"/>
        <v>0</v>
      </c>
      <c r="AW56" s="8">
        <f t="shared" si="40"/>
        <v>0</v>
      </c>
      <c r="AX56" s="8">
        <f t="shared" si="40"/>
        <v>0</v>
      </c>
      <c r="AY56" s="8">
        <f t="shared" si="40"/>
        <v>0</v>
      </c>
      <c r="AZ56" s="8">
        <f t="shared" si="37"/>
        <v>0</v>
      </c>
      <c r="BA56" s="8">
        <f t="shared" si="37"/>
        <v>0</v>
      </c>
      <c r="BB56" s="8">
        <f t="shared" si="37"/>
        <v>0</v>
      </c>
      <c r="BC56" s="8">
        <f t="shared" si="37"/>
        <v>0</v>
      </c>
      <c r="BD56" s="8">
        <f t="shared" si="37"/>
        <v>0</v>
      </c>
      <c r="BE56" s="8">
        <f t="shared" si="37"/>
        <v>0</v>
      </c>
      <c r="BF56" s="8">
        <f t="shared" si="37"/>
        <v>0</v>
      </c>
      <c r="BG56" s="8">
        <f t="shared" si="37"/>
        <v>0</v>
      </c>
      <c r="BH56" s="8">
        <f t="shared" si="41"/>
        <v>0</v>
      </c>
      <c r="BI56" s="8">
        <f t="shared" si="41"/>
        <v>0</v>
      </c>
      <c r="BJ56" s="8">
        <f t="shared" si="41"/>
        <v>0</v>
      </c>
      <c r="BK56" s="8">
        <f t="shared" si="41"/>
        <v>0</v>
      </c>
      <c r="BL56" s="8">
        <f t="shared" si="41"/>
        <v>0</v>
      </c>
      <c r="BM56" s="8">
        <f t="shared" si="41"/>
        <v>0</v>
      </c>
      <c r="BN56" s="8">
        <f t="shared" si="41"/>
        <v>0</v>
      </c>
      <c r="BO56" s="8">
        <f t="shared" si="41"/>
        <v>0</v>
      </c>
      <c r="BP56" s="8">
        <f t="shared" si="41"/>
        <v>0</v>
      </c>
      <c r="BQ56" s="8">
        <f t="shared" si="41"/>
        <v>0</v>
      </c>
      <c r="BR56" s="8">
        <f t="shared" si="41"/>
        <v>0</v>
      </c>
      <c r="BS56" s="8">
        <f t="shared" si="41"/>
        <v>0</v>
      </c>
      <c r="BT56" s="8">
        <f t="shared" si="38"/>
        <v>0</v>
      </c>
      <c r="BU56" s="8">
        <f t="shared" si="38"/>
        <v>0</v>
      </c>
      <c r="BV56" s="8">
        <f t="shared" si="38"/>
        <v>0</v>
      </c>
      <c r="BW56" s="8">
        <f t="shared" si="38"/>
        <v>0</v>
      </c>
      <c r="BX56" s="8">
        <f t="shared" si="38"/>
        <v>0</v>
      </c>
      <c r="BY56" s="8">
        <f t="shared" si="38"/>
        <v>0</v>
      </c>
      <c r="BZ56" s="8">
        <f t="shared" si="38"/>
        <v>0</v>
      </c>
      <c r="CA56" s="8">
        <f t="shared" si="38"/>
        <v>0</v>
      </c>
      <c r="CB56" s="8">
        <f t="shared" si="38"/>
        <v>0</v>
      </c>
      <c r="CC56" s="8">
        <f t="shared" si="38"/>
        <v>0</v>
      </c>
      <c r="CD56" s="8">
        <f t="shared" si="42"/>
        <v>0</v>
      </c>
      <c r="CE56" s="8">
        <f t="shared" si="42"/>
        <v>0</v>
      </c>
      <c r="CF56" s="8">
        <f t="shared" si="42"/>
        <v>0</v>
      </c>
      <c r="CG56" s="8">
        <f t="shared" si="42"/>
        <v>0</v>
      </c>
      <c r="CH56" s="8">
        <f t="shared" si="42"/>
        <v>0</v>
      </c>
      <c r="CI56" s="8">
        <f t="shared" si="42"/>
        <v>0</v>
      </c>
      <c r="CJ56" s="8">
        <f t="shared" si="42"/>
        <v>0</v>
      </c>
      <c r="CK56" s="29">
        <f t="shared" si="42"/>
        <v>0</v>
      </c>
      <c r="CN56" s="8">
        <v>26.5</v>
      </c>
      <c r="CO56" s="16">
        <v>0.05</v>
      </c>
      <c r="CP56" s="16">
        <v>-1.1384184928013859E-2</v>
      </c>
      <c r="CQ56" s="16">
        <v>1.5482793995326502E-2</v>
      </c>
      <c r="CR56" s="16">
        <v>3.0997723082058774E-2</v>
      </c>
      <c r="CS56" s="16">
        <f t="shared" si="14"/>
        <v>8.5096332149371429E-2</v>
      </c>
    </row>
    <row r="57" spans="1:97" x14ac:dyDescent="0.45">
      <c r="A57" s="7"/>
      <c r="B57" s="57"/>
      <c r="C57" s="17"/>
      <c r="D57" s="17">
        <f t="shared" si="30"/>
        <v>0</v>
      </c>
      <c r="E57" s="17">
        <f t="shared" si="31"/>
        <v>0</v>
      </c>
      <c r="F57" s="17">
        <f t="shared" si="32"/>
        <v>0</v>
      </c>
      <c r="G57" s="18">
        <f t="shared" si="33"/>
        <v>0</v>
      </c>
      <c r="H57" s="18">
        <f>IFERROR(IRR((J57,L57:CK57),0),0)</f>
        <v>0</v>
      </c>
      <c r="I57" s="52">
        <f t="shared" si="34"/>
        <v>0</v>
      </c>
      <c r="J57" s="17">
        <f t="shared" si="35"/>
        <v>0</v>
      </c>
      <c r="K57" s="28">
        <f t="shared" si="36"/>
        <v>0</v>
      </c>
      <c r="L57" s="8">
        <f t="shared" si="43"/>
        <v>0</v>
      </c>
      <c r="M57" s="8">
        <f t="shared" si="43"/>
        <v>0</v>
      </c>
      <c r="N57" s="8">
        <f t="shared" si="43"/>
        <v>0</v>
      </c>
      <c r="O57" s="8">
        <f t="shared" si="43"/>
        <v>0</v>
      </c>
      <c r="P57" s="8">
        <f t="shared" si="43"/>
        <v>0</v>
      </c>
      <c r="Q57" s="8">
        <f t="shared" si="43"/>
        <v>0</v>
      </c>
      <c r="R57" s="8">
        <f t="shared" si="43"/>
        <v>0</v>
      </c>
      <c r="S57" s="8">
        <f t="shared" si="43"/>
        <v>0</v>
      </c>
      <c r="T57" s="8">
        <f t="shared" si="43"/>
        <v>0</v>
      </c>
      <c r="U57" s="8">
        <f t="shared" si="43"/>
        <v>0</v>
      </c>
      <c r="V57" s="8">
        <f t="shared" si="43"/>
        <v>0</v>
      </c>
      <c r="W57" s="8">
        <f t="shared" si="43"/>
        <v>0</v>
      </c>
      <c r="X57" s="8">
        <f t="shared" si="43"/>
        <v>0</v>
      </c>
      <c r="Y57" s="8">
        <f t="shared" si="43"/>
        <v>0</v>
      </c>
      <c r="Z57" s="8">
        <f t="shared" si="43"/>
        <v>0</v>
      </c>
      <c r="AA57" s="8">
        <f t="shared" si="43"/>
        <v>0</v>
      </c>
      <c r="AB57" s="8">
        <f t="shared" si="39"/>
        <v>0</v>
      </c>
      <c r="AC57" s="8">
        <f t="shared" si="39"/>
        <v>0</v>
      </c>
      <c r="AD57" s="8">
        <f t="shared" si="39"/>
        <v>0</v>
      </c>
      <c r="AE57" s="8">
        <f t="shared" si="39"/>
        <v>0</v>
      </c>
      <c r="AF57" s="8">
        <f t="shared" si="39"/>
        <v>0</v>
      </c>
      <c r="AG57" s="8">
        <f t="shared" si="39"/>
        <v>0</v>
      </c>
      <c r="AH57" s="8">
        <f t="shared" si="39"/>
        <v>0</v>
      </c>
      <c r="AI57" s="8">
        <f t="shared" si="39"/>
        <v>0</v>
      </c>
      <c r="AJ57" s="8">
        <f t="shared" si="39"/>
        <v>0</v>
      </c>
      <c r="AK57" s="8">
        <f t="shared" si="39"/>
        <v>0</v>
      </c>
      <c r="AL57" s="8">
        <f t="shared" si="39"/>
        <v>0</v>
      </c>
      <c r="AM57" s="8">
        <f t="shared" si="39"/>
        <v>0</v>
      </c>
      <c r="AN57" s="8">
        <f t="shared" si="39"/>
        <v>0</v>
      </c>
      <c r="AO57" s="8">
        <f t="shared" si="39"/>
        <v>0</v>
      </c>
      <c r="AP57" s="8">
        <f t="shared" si="40"/>
        <v>0</v>
      </c>
      <c r="AQ57" s="8">
        <f t="shared" si="40"/>
        <v>0</v>
      </c>
      <c r="AR57" s="8">
        <f t="shared" si="40"/>
        <v>0</v>
      </c>
      <c r="AS57" s="8">
        <f t="shared" si="40"/>
        <v>0</v>
      </c>
      <c r="AT57" s="8">
        <f t="shared" si="40"/>
        <v>0</v>
      </c>
      <c r="AU57" s="8">
        <f t="shared" si="40"/>
        <v>0</v>
      </c>
      <c r="AV57" s="8">
        <f t="shared" si="40"/>
        <v>0</v>
      </c>
      <c r="AW57" s="8">
        <f t="shared" si="40"/>
        <v>0</v>
      </c>
      <c r="AX57" s="8">
        <f t="shared" si="40"/>
        <v>0</v>
      </c>
      <c r="AY57" s="8">
        <f t="shared" si="40"/>
        <v>0</v>
      </c>
      <c r="AZ57" s="8">
        <f t="shared" si="37"/>
        <v>0</v>
      </c>
      <c r="BA57" s="8">
        <f t="shared" si="37"/>
        <v>0</v>
      </c>
      <c r="BB57" s="8">
        <f t="shared" si="37"/>
        <v>0</v>
      </c>
      <c r="BC57" s="8">
        <f t="shared" si="37"/>
        <v>0</v>
      </c>
      <c r="BD57" s="8">
        <f t="shared" si="37"/>
        <v>0</v>
      </c>
      <c r="BE57" s="8">
        <f t="shared" si="37"/>
        <v>0</v>
      </c>
      <c r="BF57" s="8">
        <f t="shared" si="37"/>
        <v>0</v>
      </c>
      <c r="BG57" s="8">
        <f t="shared" si="37"/>
        <v>0</v>
      </c>
      <c r="BH57" s="8">
        <f t="shared" si="41"/>
        <v>0</v>
      </c>
      <c r="BI57" s="8">
        <f t="shared" si="41"/>
        <v>0</v>
      </c>
      <c r="BJ57" s="8">
        <f t="shared" si="41"/>
        <v>0</v>
      </c>
      <c r="BK57" s="8">
        <f t="shared" si="41"/>
        <v>0</v>
      </c>
      <c r="BL57" s="8">
        <f t="shared" si="41"/>
        <v>0</v>
      </c>
      <c r="BM57" s="8">
        <f t="shared" si="41"/>
        <v>0</v>
      </c>
      <c r="BN57" s="8">
        <f t="shared" si="41"/>
        <v>0</v>
      </c>
      <c r="BO57" s="8">
        <f t="shared" si="41"/>
        <v>0</v>
      </c>
      <c r="BP57" s="8">
        <f t="shared" si="41"/>
        <v>0</v>
      </c>
      <c r="BQ57" s="8">
        <f t="shared" si="41"/>
        <v>0</v>
      </c>
      <c r="BR57" s="8">
        <f t="shared" si="41"/>
        <v>0</v>
      </c>
      <c r="BS57" s="8">
        <f t="shared" si="41"/>
        <v>0</v>
      </c>
      <c r="BT57" s="8">
        <f t="shared" si="38"/>
        <v>0</v>
      </c>
      <c r="BU57" s="8">
        <f t="shared" si="38"/>
        <v>0</v>
      </c>
      <c r="BV57" s="8">
        <f t="shared" si="38"/>
        <v>0</v>
      </c>
      <c r="BW57" s="8">
        <f t="shared" si="38"/>
        <v>0</v>
      </c>
      <c r="BX57" s="8">
        <f t="shared" si="38"/>
        <v>0</v>
      </c>
      <c r="BY57" s="8">
        <f t="shared" si="38"/>
        <v>0</v>
      </c>
      <c r="BZ57" s="8">
        <f t="shared" si="38"/>
        <v>0</v>
      </c>
      <c r="CA57" s="8">
        <f t="shared" si="38"/>
        <v>0</v>
      </c>
      <c r="CB57" s="8">
        <f t="shared" si="38"/>
        <v>0</v>
      </c>
      <c r="CC57" s="8">
        <f t="shared" si="38"/>
        <v>0</v>
      </c>
      <c r="CD57" s="8">
        <f t="shared" si="42"/>
        <v>0</v>
      </c>
      <c r="CE57" s="8">
        <f t="shared" si="42"/>
        <v>0</v>
      </c>
      <c r="CF57" s="8">
        <f t="shared" si="42"/>
        <v>0</v>
      </c>
      <c r="CG57" s="8">
        <f t="shared" si="42"/>
        <v>0</v>
      </c>
      <c r="CH57" s="8">
        <f t="shared" si="42"/>
        <v>0</v>
      </c>
      <c r="CI57" s="8">
        <f t="shared" si="42"/>
        <v>0</v>
      </c>
      <c r="CJ57" s="8">
        <f t="shared" si="42"/>
        <v>0</v>
      </c>
      <c r="CK57" s="29">
        <f t="shared" si="42"/>
        <v>0</v>
      </c>
      <c r="CN57" s="8">
        <v>27</v>
      </c>
      <c r="CO57" s="16">
        <v>0.05</v>
      </c>
      <c r="CP57" s="16">
        <v>-1.1263386354371595E-2</v>
      </c>
      <c r="CQ57" s="16">
        <v>1.5521224934175258E-2</v>
      </c>
      <c r="CR57" s="16">
        <v>3.133761528134698E-2</v>
      </c>
      <c r="CS57" s="16">
        <f t="shared" si="14"/>
        <v>8.5595453861150639E-2</v>
      </c>
    </row>
    <row r="58" spans="1:97" x14ac:dyDescent="0.45">
      <c r="A58" s="7"/>
      <c r="B58" s="57"/>
      <c r="C58" s="17"/>
      <c r="D58" s="17">
        <f t="shared" si="30"/>
        <v>0</v>
      </c>
      <c r="E58" s="17">
        <f t="shared" si="31"/>
        <v>0</v>
      </c>
      <c r="F58" s="17">
        <f t="shared" si="32"/>
        <v>0</v>
      </c>
      <c r="G58" s="18">
        <f t="shared" si="33"/>
        <v>0</v>
      </c>
      <c r="H58" s="18">
        <f>IFERROR(IRR((J58,L58:CK58),0),0)</f>
        <v>0</v>
      </c>
      <c r="I58" s="52">
        <f t="shared" si="34"/>
        <v>0</v>
      </c>
      <c r="J58" s="17">
        <f t="shared" si="35"/>
        <v>0</v>
      </c>
      <c r="K58" s="28">
        <f t="shared" si="36"/>
        <v>0</v>
      </c>
      <c r="L58" s="8">
        <f t="shared" si="43"/>
        <v>0</v>
      </c>
      <c r="M58" s="8">
        <f t="shared" si="43"/>
        <v>0</v>
      </c>
      <c r="N58" s="8">
        <f t="shared" si="43"/>
        <v>0</v>
      </c>
      <c r="O58" s="8">
        <f t="shared" si="43"/>
        <v>0</v>
      </c>
      <c r="P58" s="8">
        <f t="shared" si="43"/>
        <v>0</v>
      </c>
      <c r="Q58" s="8">
        <f t="shared" si="43"/>
        <v>0</v>
      </c>
      <c r="R58" s="8">
        <f t="shared" si="43"/>
        <v>0</v>
      </c>
      <c r="S58" s="8">
        <f t="shared" si="43"/>
        <v>0</v>
      </c>
      <c r="T58" s="8">
        <f t="shared" si="43"/>
        <v>0</v>
      </c>
      <c r="U58" s="8">
        <f t="shared" si="43"/>
        <v>0</v>
      </c>
      <c r="V58" s="8">
        <f t="shared" si="43"/>
        <v>0</v>
      </c>
      <c r="W58" s="8">
        <f t="shared" si="43"/>
        <v>0</v>
      </c>
      <c r="X58" s="8">
        <f t="shared" si="43"/>
        <v>0</v>
      </c>
      <c r="Y58" s="8">
        <f t="shared" si="43"/>
        <v>0</v>
      </c>
      <c r="Z58" s="8">
        <f t="shared" si="43"/>
        <v>0</v>
      </c>
      <c r="AA58" s="8">
        <f t="shared" si="43"/>
        <v>0</v>
      </c>
      <c r="AB58" s="8">
        <f t="shared" si="39"/>
        <v>0</v>
      </c>
      <c r="AC58" s="8">
        <f t="shared" si="39"/>
        <v>0</v>
      </c>
      <c r="AD58" s="8">
        <f t="shared" si="39"/>
        <v>0</v>
      </c>
      <c r="AE58" s="8">
        <f t="shared" si="39"/>
        <v>0</v>
      </c>
      <c r="AF58" s="8">
        <f t="shared" si="39"/>
        <v>0</v>
      </c>
      <c r="AG58" s="8">
        <f t="shared" si="39"/>
        <v>0</v>
      </c>
      <c r="AH58" s="8">
        <f t="shared" si="39"/>
        <v>0</v>
      </c>
      <c r="AI58" s="8">
        <f t="shared" si="39"/>
        <v>0</v>
      </c>
      <c r="AJ58" s="8">
        <f t="shared" si="39"/>
        <v>0</v>
      </c>
      <c r="AK58" s="8">
        <f t="shared" si="39"/>
        <v>0</v>
      </c>
      <c r="AL58" s="8">
        <f t="shared" si="39"/>
        <v>0</v>
      </c>
      <c r="AM58" s="8">
        <f t="shared" si="39"/>
        <v>0</v>
      </c>
      <c r="AN58" s="8">
        <f t="shared" si="39"/>
        <v>0</v>
      </c>
      <c r="AO58" s="8">
        <f t="shared" si="39"/>
        <v>0</v>
      </c>
      <c r="AP58" s="8">
        <f t="shared" si="40"/>
        <v>0</v>
      </c>
      <c r="AQ58" s="8">
        <f t="shared" si="40"/>
        <v>0</v>
      </c>
      <c r="AR58" s="8">
        <f t="shared" si="40"/>
        <v>0</v>
      </c>
      <c r="AS58" s="8">
        <f t="shared" si="40"/>
        <v>0</v>
      </c>
      <c r="AT58" s="8">
        <f t="shared" si="40"/>
        <v>0</v>
      </c>
      <c r="AU58" s="8">
        <f t="shared" si="40"/>
        <v>0</v>
      </c>
      <c r="AV58" s="8">
        <f t="shared" si="40"/>
        <v>0</v>
      </c>
      <c r="AW58" s="8">
        <f t="shared" si="40"/>
        <v>0</v>
      </c>
      <c r="AX58" s="8">
        <f t="shared" si="40"/>
        <v>0</v>
      </c>
      <c r="AY58" s="8">
        <f t="shared" si="40"/>
        <v>0</v>
      </c>
      <c r="AZ58" s="8">
        <f t="shared" si="37"/>
        <v>0</v>
      </c>
      <c r="BA58" s="8">
        <f t="shared" si="37"/>
        <v>0</v>
      </c>
      <c r="BB58" s="8">
        <f t="shared" si="37"/>
        <v>0</v>
      </c>
      <c r="BC58" s="8">
        <f t="shared" si="37"/>
        <v>0</v>
      </c>
      <c r="BD58" s="8">
        <f t="shared" si="37"/>
        <v>0</v>
      </c>
      <c r="BE58" s="8">
        <f t="shared" si="37"/>
        <v>0</v>
      </c>
      <c r="BF58" s="8">
        <f t="shared" si="37"/>
        <v>0</v>
      </c>
      <c r="BG58" s="8">
        <f t="shared" si="37"/>
        <v>0</v>
      </c>
      <c r="BH58" s="8">
        <f t="shared" si="41"/>
        <v>0</v>
      </c>
      <c r="BI58" s="8">
        <f t="shared" si="41"/>
        <v>0</v>
      </c>
      <c r="BJ58" s="8">
        <f t="shared" si="41"/>
        <v>0</v>
      </c>
      <c r="BK58" s="8">
        <f t="shared" si="41"/>
        <v>0</v>
      </c>
      <c r="BL58" s="8">
        <f t="shared" si="41"/>
        <v>0</v>
      </c>
      <c r="BM58" s="8">
        <f t="shared" si="41"/>
        <v>0</v>
      </c>
      <c r="BN58" s="8">
        <f t="shared" si="41"/>
        <v>0</v>
      </c>
      <c r="BO58" s="8">
        <f t="shared" si="41"/>
        <v>0</v>
      </c>
      <c r="BP58" s="8">
        <f t="shared" si="41"/>
        <v>0</v>
      </c>
      <c r="BQ58" s="8">
        <f t="shared" si="41"/>
        <v>0</v>
      </c>
      <c r="BR58" s="8">
        <f t="shared" si="41"/>
        <v>0</v>
      </c>
      <c r="BS58" s="8">
        <f t="shared" si="41"/>
        <v>0</v>
      </c>
      <c r="BT58" s="8">
        <f t="shared" si="38"/>
        <v>0</v>
      </c>
      <c r="BU58" s="8">
        <f t="shared" si="38"/>
        <v>0</v>
      </c>
      <c r="BV58" s="8">
        <f t="shared" si="38"/>
        <v>0</v>
      </c>
      <c r="BW58" s="8">
        <f t="shared" si="38"/>
        <v>0</v>
      </c>
      <c r="BX58" s="8">
        <f t="shared" si="38"/>
        <v>0</v>
      </c>
      <c r="BY58" s="8">
        <f t="shared" si="38"/>
        <v>0</v>
      </c>
      <c r="BZ58" s="8">
        <f t="shared" si="38"/>
        <v>0</v>
      </c>
      <c r="CA58" s="8">
        <f t="shared" si="38"/>
        <v>0</v>
      </c>
      <c r="CB58" s="8">
        <f t="shared" si="38"/>
        <v>0</v>
      </c>
      <c r="CC58" s="8">
        <f t="shared" si="38"/>
        <v>0</v>
      </c>
      <c r="CD58" s="8">
        <f t="shared" si="42"/>
        <v>0</v>
      </c>
      <c r="CE58" s="8">
        <f t="shared" si="42"/>
        <v>0</v>
      </c>
      <c r="CF58" s="8">
        <f t="shared" si="42"/>
        <v>0</v>
      </c>
      <c r="CG58" s="8">
        <f t="shared" si="42"/>
        <v>0</v>
      </c>
      <c r="CH58" s="8">
        <f t="shared" si="42"/>
        <v>0</v>
      </c>
      <c r="CI58" s="8">
        <f t="shared" si="42"/>
        <v>0</v>
      </c>
      <c r="CJ58" s="8">
        <f t="shared" si="42"/>
        <v>0</v>
      </c>
      <c r="CK58" s="29">
        <f t="shared" si="42"/>
        <v>0</v>
      </c>
      <c r="CN58" s="8">
        <v>27.5</v>
      </c>
      <c r="CO58" s="16">
        <v>0.05</v>
      </c>
      <c r="CP58" s="16">
        <v>-1.1144527511496945E-2</v>
      </c>
      <c r="CQ58" s="16">
        <v>1.5555200098144102E-2</v>
      </c>
      <c r="CR58" s="16">
        <v>3.1670661712147503E-2</v>
      </c>
      <c r="CS58" s="16">
        <f t="shared" si="14"/>
        <v>8.6081334298794665E-2</v>
      </c>
    </row>
    <row r="59" spans="1:97" x14ac:dyDescent="0.45">
      <c r="A59" s="7"/>
      <c r="B59" s="57"/>
      <c r="C59" s="17"/>
      <c r="D59" s="17">
        <f t="shared" si="30"/>
        <v>0</v>
      </c>
      <c r="E59" s="17">
        <f t="shared" si="31"/>
        <v>0</v>
      </c>
      <c r="F59" s="17">
        <f t="shared" si="32"/>
        <v>0</v>
      </c>
      <c r="G59" s="18">
        <f t="shared" si="33"/>
        <v>0</v>
      </c>
      <c r="H59" s="18">
        <f>IFERROR(IRR((J59,L59:CK59),0),0)</f>
        <v>0</v>
      </c>
      <c r="I59" s="52">
        <f t="shared" si="34"/>
        <v>0</v>
      </c>
      <c r="J59" s="17">
        <f t="shared" si="35"/>
        <v>0</v>
      </c>
      <c r="K59" s="28">
        <f t="shared" si="36"/>
        <v>0</v>
      </c>
      <c r="L59" s="8">
        <f t="shared" si="43"/>
        <v>0</v>
      </c>
      <c r="M59" s="8">
        <f t="shared" si="43"/>
        <v>0</v>
      </c>
      <c r="N59" s="8">
        <f t="shared" si="43"/>
        <v>0</v>
      </c>
      <c r="O59" s="8">
        <f t="shared" si="43"/>
        <v>0</v>
      </c>
      <c r="P59" s="8">
        <f t="shared" si="43"/>
        <v>0</v>
      </c>
      <c r="Q59" s="8">
        <f t="shared" si="43"/>
        <v>0</v>
      </c>
      <c r="R59" s="8">
        <f t="shared" si="43"/>
        <v>0</v>
      </c>
      <c r="S59" s="8">
        <f t="shared" si="43"/>
        <v>0</v>
      </c>
      <c r="T59" s="8">
        <f t="shared" si="43"/>
        <v>0</v>
      </c>
      <c r="U59" s="8">
        <f t="shared" si="43"/>
        <v>0</v>
      </c>
      <c r="V59" s="8">
        <f t="shared" si="43"/>
        <v>0</v>
      </c>
      <c r="W59" s="8">
        <f t="shared" si="43"/>
        <v>0</v>
      </c>
      <c r="X59" s="8">
        <f t="shared" si="43"/>
        <v>0</v>
      </c>
      <c r="Y59" s="8">
        <f t="shared" si="43"/>
        <v>0</v>
      </c>
      <c r="Z59" s="8">
        <f t="shared" si="43"/>
        <v>0</v>
      </c>
      <c r="AA59" s="8">
        <f t="shared" si="43"/>
        <v>0</v>
      </c>
      <c r="AB59" s="8">
        <f t="shared" si="39"/>
        <v>0</v>
      </c>
      <c r="AC59" s="8">
        <f t="shared" si="39"/>
        <v>0</v>
      </c>
      <c r="AD59" s="8">
        <f t="shared" si="39"/>
        <v>0</v>
      </c>
      <c r="AE59" s="8">
        <f t="shared" si="39"/>
        <v>0</v>
      </c>
      <c r="AF59" s="8">
        <f t="shared" si="39"/>
        <v>0</v>
      </c>
      <c r="AG59" s="8">
        <f t="shared" si="39"/>
        <v>0</v>
      </c>
      <c r="AH59" s="8">
        <f t="shared" si="39"/>
        <v>0</v>
      </c>
      <c r="AI59" s="8">
        <f t="shared" si="39"/>
        <v>0</v>
      </c>
      <c r="AJ59" s="8">
        <f t="shared" si="39"/>
        <v>0</v>
      </c>
      <c r="AK59" s="8">
        <f t="shared" si="39"/>
        <v>0</v>
      </c>
      <c r="AL59" s="8">
        <f t="shared" si="39"/>
        <v>0</v>
      </c>
      <c r="AM59" s="8">
        <f t="shared" si="39"/>
        <v>0</v>
      </c>
      <c r="AN59" s="8">
        <f t="shared" si="39"/>
        <v>0</v>
      </c>
      <c r="AO59" s="8">
        <f t="shared" si="39"/>
        <v>0</v>
      </c>
      <c r="AP59" s="8">
        <f t="shared" si="40"/>
        <v>0</v>
      </c>
      <c r="AQ59" s="8">
        <f t="shared" si="40"/>
        <v>0</v>
      </c>
      <c r="AR59" s="8">
        <f t="shared" si="40"/>
        <v>0</v>
      </c>
      <c r="AS59" s="8">
        <f t="shared" si="40"/>
        <v>0</v>
      </c>
      <c r="AT59" s="8">
        <f t="shared" si="40"/>
        <v>0</v>
      </c>
      <c r="AU59" s="8">
        <f t="shared" si="40"/>
        <v>0</v>
      </c>
      <c r="AV59" s="8">
        <f t="shared" si="40"/>
        <v>0</v>
      </c>
      <c r="AW59" s="8">
        <f t="shared" si="40"/>
        <v>0</v>
      </c>
      <c r="AX59" s="8">
        <f t="shared" si="40"/>
        <v>0</v>
      </c>
      <c r="AY59" s="8">
        <f t="shared" si="40"/>
        <v>0</v>
      </c>
      <c r="AZ59" s="8">
        <f t="shared" si="37"/>
        <v>0</v>
      </c>
      <c r="BA59" s="8">
        <f t="shared" si="37"/>
        <v>0</v>
      </c>
      <c r="BB59" s="8">
        <f t="shared" si="37"/>
        <v>0</v>
      </c>
      <c r="BC59" s="8">
        <f t="shared" si="37"/>
        <v>0</v>
      </c>
      <c r="BD59" s="8">
        <f t="shared" si="37"/>
        <v>0</v>
      </c>
      <c r="BE59" s="8">
        <f t="shared" si="37"/>
        <v>0</v>
      </c>
      <c r="BF59" s="8">
        <f t="shared" si="37"/>
        <v>0</v>
      </c>
      <c r="BG59" s="8">
        <f t="shared" si="37"/>
        <v>0</v>
      </c>
      <c r="BH59" s="8">
        <f t="shared" si="41"/>
        <v>0</v>
      </c>
      <c r="BI59" s="8">
        <f t="shared" si="41"/>
        <v>0</v>
      </c>
      <c r="BJ59" s="8">
        <f t="shared" si="41"/>
        <v>0</v>
      </c>
      <c r="BK59" s="8">
        <f t="shared" si="41"/>
        <v>0</v>
      </c>
      <c r="BL59" s="8">
        <f t="shared" si="41"/>
        <v>0</v>
      </c>
      <c r="BM59" s="8">
        <f t="shared" si="41"/>
        <v>0</v>
      </c>
      <c r="BN59" s="8">
        <f t="shared" si="41"/>
        <v>0</v>
      </c>
      <c r="BO59" s="8">
        <f t="shared" si="41"/>
        <v>0</v>
      </c>
      <c r="BP59" s="8">
        <f t="shared" si="41"/>
        <v>0</v>
      </c>
      <c r="BQ59" s="8">
        <f t="shared" si="41"/>
        <v>0</v>
      </c>
      <c r="BR59" s="8">
        <f t="shared" si="41"/>
        <v>0</v>
      </c>
      <c r="BS59" s="8">
        <f t="shared" si="41"/>
        <v>0</v>
      </c>
      <c r="BT59" s="8">
        <f t="shared" si="38"/>
        <v>0</v>
      </c>
      <c r="BU59" s="8">
        <f t="shared" si="38"/>
        <v>0</v>
      </c>
      <c r="BV59" s="8">
        <f t="shared" si="38"/>
        <v>0</v>
      </c>
      <c r="BW59" s="8">
        <f t="shared" si="38"/>
        <v>0</v>
      </c>
      <c r="BX59" s="8">
        <f t="shared" si="38"/>
        <v>0</v>
      </c>
      <c r="BY59" s="8">
        <f t="shared" si="38"/>
        <v>0</v>
      </c>
      <c r="BZ59" s="8">
        <f t="shared" si="38"/>
        <v>0</v>
      </c>
      <c r="CA59" s="8">
        <f t="shared" si="38"/>
        <v>0</v>
      </c>
      <c r="CB59" s="8">
        <f t="shared" si="38"/>
        <v>0</v>
      </c>
      <c r="CC59" s="8">
        <f t="shared" si="38"/>
        <v>0</v>
      </c>
      <c r="CD59" s="8">
        <f t="shared" si="42"/>
        <v>0</v>
      </c>
      <c r="CE59" s="8">
        <f t="shared" si="42"/>
        <v>0</v>
      </c>
      <c r="CF59" s="8">
        <f t="shared" si="42"/>
        <v>0</v>
      </c>
      <c r="CG59" s="8">
        <f t="shared" si="42"/>
        <v>0</v>
      </c>
      <c r="CH59" s="8">
        <f t="shared" si="42"/>
        <v>0</v>
      </c>
      <c r="CI59" s="8">
        <f t="shared" si="42"/>
        <v>0</v>
      </c>
      <c r="CJ59" s="8">
        <f t="shared" si="42"/>
        <v>0</v>
      </c>
      <c r="CK59" s="29">
        <f t="shared" si="42"/>
        <v>0</v>
      </c>
      <c r="CN59" s="8">
        <v>28</v>
      </c>
      <c r="CO59" s="16">
        <v>0.05</v>
      </c>
      <c r="CP59" s="16">
        <v>-1.102757134759968E-2</v>
      </c>
      <c r="CQ59" s="16">
        <v>1.5584883409387223E-2</v>
      </c>
      <c r="CR59" s="16">
        <v>3.1996962017473554E-2</v>
      </c>
      <c r="CS59" s="16">
        <f t="shared" si="14"/>
        <v>8.6554274079261098E-2</v>
      </c>
    </row>
    <row r="60" spans="1:97" x14ac:dyDescent="0.45">
      <c r="A60" s="7"/>
      <c r="B60" s="57"/>
      <c r="C60" s="17"/>
      <c r="D60" s="17">
        <f t="shared" si="30"/>
        <v>0</v>
      </c>
      <c r="E60" s="17">
        <f t="shared" si="31"/>
        <v>0</v>
      </c>
      <c r="F60" s="17">
        <f t="shared" si="32"/>
        <v>0</v>
      </c>
      <c r="G60" s="18">
        <f t="shared" si="33"/>
        <v>0</v>
      </c>
      <c r="H60" s="18">
        <f>IFERROR(IRR((J60,L60:CK60),0),0)</f>
        <v>0</v>
      </c>
      <c r="I60" s="52">
        <f t="shared" si="34"/>
        <v>0</v>
      </c>
      <c r="J60" s="17">
        <f t="shared" si="35"/>
        <v>0</v>
      </c>
      <c r="K60" s="28">
        <f t="shared" si="36"/>
        <v>0</v>
      </c>
      <c r="L60" s="8">
        <f t="shared" si="43"/>
        <v>0</v>
      </c>
      <c r="M60" s="8">
        <f t="shared" si="43"/>
        <v>0</v>
      </c>
      <c r="N60" s="8">
        <f t="shared" si="43"/>
        <v>0</v>
      </c>
      <c r="O60" s="8">
        <f t="shared" si="43"/>
        <v>0</v>
      </c>
      <c r="P60" s="8">
        <f t="shared" si="43"/>
        <v>0</v>
      </c>
      <c r="Q60" s="8">
        <f t="shared" si="43"/>
        <v>0</v>
      </c>
      <c r="R60" s="8">
        <f t="shared" si="43"/>
        <v>0</v>
      </c>
      <c r="S60" s="8">
        <f t="shared" si="43"/>
        <v>0</v>
      </c>
      <c r="T60" s="8">
        <f t="shared" si="43"/>
        <v>0</v>
      </c>
      <c r="U60" s="8">
        <f t="shared" si="43"/>
        <v>0</v>
      </c>
      <c r="V60" s="8">
        <f t="shared" si="43"/>
        <v>0</v>
      </c>
      <c r="W60" s="8">
        <f t="shared" si="43"/>
        <v>0</v>
      </c>
      <c r="X60" s="8">
        <f t="shared" si="43"/>
        <v>0</v>
      </c>
      <c r="Y60" s="8">
        <f t="shared" si="43"/>
        <v>0</v>
      </c>
      <c r="Z60" s="8">
        <f t="shared" si="43"/>
        <v>0</v>
      </c>
      <c r="AA60" s="8">
        <f t="shared" si="43"/>
        <v>0</v>
      </c>
      <c r="AB60" s="8">
        <f t="shared" si="39"/>
        <v>0</v>
      </c>
      <c r="AC60" s="8">
        <f t="shared" si="39"/>
        <v>0</v>
      </c>
      <c r="AD60" s="8">
        <f t="shared" si="39"/>
        <v>0</v>
      </c>
      <c r="AE60" s="8">
        <f t="shared" si="39"/>
        <v>0</v>
      </c>
      <c r="AF60" s="8">
        <f t="shared" si="39"/>
        <v>0</v>
      </c>
      <c r="AG60" s="8">
        <f t="shared" si="39"/>
        <v>0</v>
      </c>
      <c r="AH60" s="8">
        <f t="shared" si="39"/>
        <v>0</v>
      </c>
      <c r="AI60" s="8">
        <f t="shared" si="39"/>
        <v>0</v>
      </c>
      <c r="AJ60" s="8">
        <f t="shared" si="39"/>
        <v>0</v>
      </c>
      <c r="AK60" s="8">
        <f t="shared" si="39"/>
        <v>0</v>
      </c>
      <c r="AL60" s="8">
        <f t="shared" si="39"/>
        <v>0</v>
      </c>
      <c r="AM60" s="8">
        <f t="shared" si="39"/>
        <v>0</v>
      </c>
      <c r="AN60" s="8">
        <f t="shared" si="39"/>
        <v>0</v>
      </c>
      <c r="AO60" s="8">
        <f t="shared" si="39"/>
        <v>0</v>
      </c>
      <c r="AP60" s="8">
        <f t="shared" si="40"/>
        <v>0</v>
      </c>
      <c r="AQ60" s="8">
        <f t="shared" si="40"/>
        <v>0</v>
      </c>
      <c r="AR60" s="8">
        <f t="shared" si="40"/>
        <v>0</v>
      </c>
      <c r="AS60" s="8">
        <f t="shared" si="40"/>
        <v>0</v>
      </c>
      <c r="AT60" s="8">
        <f t="shared" si="40"/>
        <v>0</v>
      </c>
      <c r="AU60" s="8">
        <f t="shared" si="40"/>
        <v>0</v>
      </c>
      <c r="AV60" s="8">
        <f t="shared" si="40"/>
        <v>0</v>
      </c>
      <c r="AW60" s="8">
        <f t="shared" si="40"/>
        <v>0</v>
      </c>
      <c r="AX60" s="8">
        <f t="shared" si="40"/>
        <v>0</v>
      </c>
      <c r="AY60" s="8">
        <f t="shared" si="40"/>
        <v>0</v>
      </c>
      <c r="AZ60" s="8">
        <f t="shared" si="37"/>
        <v>0</v>
      </c>
      <c r="BA60" s="8">
        <f t="shared" si="37"/>
        <v>0</v>
      </c>
      <c r="BB60" s="8">
        <f t="shared" si="37"/>
        <v>0</v>
      </c>
      <c r="BC60" s="8">
        <f t="shared" si="37"/>
        <v>0</v>
      </c>
      <c r="BD60" s="8">
        <f t="shared" si="37"/>
        <v>0</v>
      </c>
      <c r="BE60" s="8">
        <f t="shared" si="37"/>
        <v>0</v>
      </c>
      <c r="BF60" s="8">
        <f t="shared" si="37"/>
        <v>0</v>
      </c>
      <c r="BG60" s="8">
        <f t="shared" si="37"/>
        <v>0</v>
      </c>
      <c r="BH60" s="8">
        <f t="shared" si="41"/>
        <v>0</v>
      </c>
      <c r="BI60" s="8">
        <f t="shared" si="41"/>
        <v>0</v>
      </c>
      <c r="BJ60" s="8">
        <f t="shared" si="41"/>
        <v>0</v>
      </c>
      <c r="BK60" s="8">
        <f t="shared" si="41"/>
        <v>0</v>
      </c>
      <c r="BL60" s="8">
        <f t="shared" si="41"/>
        <v>0</v>
      </c>
      <c r="BM60" s="8">
        <f t="shared" si="41"/>
        <v>0</v>
      </c>
      <c r="BN60" s="8">
        <f t="shared" si="41"/>
        <v>0</v>
      </c>
      <c r="BO60" s="8">
        <f t="shared" si="41"/>
        <v>0</v>
      </c>
      <c r="BP60" s="8">
        <f t="shared" si="41"/>
        <v>0</v>
      </c>
      <c r="BQ60" s="8">
        <f t="shared" si="41"/>
        <v>0</v>
      </c>
      <c r="BR60" s="8">
        <f t="shared" si="41"/>
        <v>0</v>
      </c>
      <c r="BS60" s="8">
        <f t="shared" si="41"/>
        <v>0</v>
      </c>
      <c r="BT60" s="8">
        <f t="shared" si="38"/>
        <v>0</v>
      </c>
      <c r="BU60" s="8">
        <f t="shared" si="38"/>
        <v>0</v>
      </c>
      <c r="BV60" s="8">
        <f t="shared" si="38"/>
        <v>0</v>
      </c>
      <c r="BW60" s="8">
        <f t="shared" si="38"/>
        <v>0</v>
      </c>
      <c r="BX60" s="8">
        <f t="shared" si="38"/>
        <v>0</v>
      </c>
      <c r="BY60" s="8">
        <f t="shared" si="38"/>
        <v>0</v>
      </c>
      <c r="BZ60" s="8">
        <f t="shared" si="38"/>
        <v>0</v>
      </c>
      <c r="CA60" s="8">
        <f t="shared" si="38"/>
        <v>0</v>
      </c>
      <c r="CB60" s="8">
        <f t="shared" si="38"/>
        <v>0</v>
      </c>
      <c r="CC60" s="8">
        <f t="shared" si="38"/>
        <v>0</v>
      </c>
      <c r="CD60" s="8">
        <f t="shared" si="42"/>
        <v>0</v>
      </c>
      <c r="CE60" s="8">
        <f t="shared" si="42"/>
        <v>0</v>
      </c>
      <c r="CF60" s="8">
        <f t="shared" si="42"/>
        <v>0</v>
      </c>
      <c r="CG60" s="8">
        <f t="shared" si="42"/>
        <v>0</v>
      </c>
      <c r="CH60" s="8">
        <f t="shared" si="42"/>
        <v>0</v>
      </c>
      <c r="CI60" s="8">
        <f t="shared" si="42"/>
        <v>0</v>
      </c>
      <c r="CJ60" s="8">
        <f t="shared" si="42"/>
        <v>0</v>
      </c>
      <c r="CK60" s="29">
        <f t="shared" si="42"/>
        <v>0</v>
      </c>
      <c r="CN60" s="8">
        <v>28.5</v>
      </c>
      <c r="CO60" s="16">
        <v>0.05</v>
      </c>
      <c r="CP60" s="16">
        <v>-1.0912481587899888E-2</v>
      </c>
      <c r="CQ60" s="16">
        <v>1.5610433637786671E-2</v>
      </c>
      <c r="CR60" s="16">
        <v>3.2316614504755425E-2</v>
      </c>
      <c r="CS60" s="16">
        <f t="shared" si="14"/>
        <v>8.7014566554642209E-2</v>
      </c>
    </row>
    <row r="61" spans="1:97" x14ac:dyDescent="0.45">
      <c r="A61" s="7"/>
      <c r="B61" s="57"/>
      <c r="C61" s="17"/>
      <c r="D61" s="17">
        <f t="shared" si="30"/>
        <v>0</v>
      </c>
      <c r="E61" s="17">
        <f t="shared" si="31"/>
        <v>0</v>
      </c>
      <c r="F61" s="17">
        <f t="shared" si="32"/>
        <v>0</v>
      </c>
      <c r="G61" s="18">
        <f t="shared" si="33"/>
        <v>0</v>
      </c>
      <c r="H61" s="18">
        <f>IFERROR(IRR((J61,L61:CK61),0),0)</f>
        <v>0</v>
      </c>
      <c r="I61" s="52">
        <f t="shared" si="34"/>
        <v>0</v>
      </c>
      <c r="J61" s="17">
        <f t="shared" si="35"/>
        <v>0</v>
      </c>
      <c r="K61" s="28">
        <f t="shared" si="36"/>
        <v>0</v>
      </c>
      <c r="L61" s="8">
        <f t="shared" si="43"/>
        <v>0</v>
      </c>
      <c r="M61" s="8">
        <f t="shared" si="43"/>
        <v>0</v>
      </c>
      <c r="N61" s="8">
        <f t="shared" si="43"/>
        <v>0</v>
      </c>
      <c r="O61" s="8">
        <f t="shared" si="43"/>
        <v>0</v>
      </c>
      <c r="P61" s="8">
        <f t="shared" si="43"/>
        <v>0</v>
      </c>
      <c r="Q61" s="8">
        <f t="shared" si="43"/>
        <v>0</v>
      </c>
      <c r="R61" s="8">
        <f t="shared" si="43"/>
        <v>0</v>
      </c>
      <c r="S61" s="8">
        <f t="shared" si="43"/>
        <v>0</v>
      </c>
      <c r="T61" s="8">
        <f t="shared" si="43"/>
        <v>0</v>
      </c>
      <c r="U61" s="8">
        <f t="shared" si="43"/>
        <v>0</v>
      </c>
      <c r="V61" s="8">
        <f t="shared" si="43"/>
        <v>0</v>
      </c>
      <c r="W61" s="8">
        <f t="shared" si="43"/>
        <v>0</v>
      </c>
      <c r="X61" s="8">
        <f t="shared" si="43"/>
        <v>0</v>
      </c>
      <c r="Y61" s="8">
        <f t="shared" si="43"/>
        <v>0</v>
      </c>
      <c r="Z61" s="8">
        <f t="shared" si="43"/>
        <v>0</v>
      </c>
      <c r="AA61" s="8">
        <f t="shared" si="43"/>
        <v>0</v>
      </c>
      <c r="AB61" s="8">
        <f t="shared" si="39"/>
        <v>0</v>
      </c>
      <c r="AC61" s="8">
        <f t="shared" si="39"/>
        <v>0</v>
      </c>
      <c r="AD61" s="8">
        <f t="shared" si="39"/>
        <v>0</v>
      </c>
      <c r="AE61" s="8">
        <f t="shared" si="39"/>
        <v>0</v>
      </c>
      <c r="AF61" s="8">
        <f t="shared" si="39"/>
        <v>0</v>
      </c>
      <c r="AG61" s="8">
        <f t="shared" si="39"/>
        <v>0</v>
      </c>
      <c r="AH61" s="8">
        <f t="shared" si="39"/>
        <v>0</v>
      </c>
      <c r="AI61" s="8">
        <f t="shared" si="39"/>
        <v>0</v>
      </c>
      <c r="AJ61" s="8">
        <f t="shared" si="39"/>
        <v>0</v>
      </c>
      <c r="AK61" s="8">
        <f t="shared" si="39"/>
        <v>0</v>
      </c>
      <c r="AL61" s="8">
        <f t="shared" si="39"/>
        <v>0</v>
      </c>
      <c r="AM61" s="8">
        <f t="shared" si="39"/>
        <v>0</v>
      </c>
      <c r="AN61" s="8">
        <f t="shared" si="39"/>
        <v>0</v>
      </c>
      <c r="AO61" s="8">
        <f t="shared" si="39"/>
        <v>0</v>
      </c>
      <c r="AP61" s="8">
        <f t="shared" si="40"/>
        <v>0</v>
      </c>
      <c r="AQ61" s="8">
        <f t="shared" si="40"/>
        <v>0</v>
      </c>
      <c r="AR61" s="8">
        <f t="shared" si="40"/>
        <v>0</v>
      </c>
      <c r="AS61" s="8">
        <f t="shared" si="40"/>
        <v>0</v>
      </c>
      <c r="AT61" s="8">
        <f t="shared" si="40"/>
        <v>0</v>
      </c>
      <c r="AU61" s="8">
        <f t="shared" si="40"/>
        <v>0</v>
      </c>
      <c r="AV61" s="8">
        <f t="shared" si="40"/>
        <v>0</v>
      </c>
      <c r="AW61" s="8">
        <f t="shared" si="40"/>
        <v>0</v>
      </c>
      <c r="AX61" s="8">
        <f t="shared" si="40"/>
        <v>0</v>
      </c>
      <c r="AY61" s="8">
        <f t="shared" si="40"/>
        <v>0</v>
      </c>
      <c r="AZ61" s="8">
        <f t="shared" si="37"/>
        <v>0</v>
      </c>
      <c r="BA61" s="8">
        <f t="shared" si="37"/>
        <v>0</v>
      </c>
      <c r="BB61" s="8">
        <f t="shared" si="37"/>
        <v>0</v>
      </c>
      <c r="BC61" s="8">
        <f t="shared" si="37"/>
        <v>0</v>
      </c>
      <c r="BD61" s="8">
        <f t="shared" si="37"/>
        <v>0</v>
      </c>
      <c r="BE61" s="8">
        <f t="shared" si="37"/>
        <v>0</v>
      </c>
      <c r="BF61" s="8">
        <f t="shared" si="37"/>
        <v>0</v>
      </c>
      <c r="BG61" s="8">
        <f t="shared" si="37"/>
        <v>0</v>
      </c>
      <c r="BH61" s="8">
        <f t="shared" si="41"/>
        <v>0</v>
      </c>
      <c r="BI61" s="8">
        <f t="shared" si="41"/>
        <v>0</v>
      </c>
      <c r="BJ61" s="8">
        <f t="shared" si="41"/>
        <v>0</v>
      </c>
      <c r="BK61" s="8">
        <f t="shared" si="41"/>
        <v>0</v>
      </c>
      <c r="BL61" s="8">
        <f t="shared" si="41"/>
        <v>0</v>
      </c>
      <c r="BM61" s="8">
        <f t="shared" si="41"/>
        <v>0</v>
      </c>
      <c r="BN61" s="8">
        <f t="shared" si="41"/>
        <v>0</v>
      </c>
      <c r="BO61" s="8">
        <f t="shared" si="41"/>
        <v>0</v>
      </c>
      <c r="BP61" s="8">
        <f t="shared" si="41"/>
        <v>0</v>
      </c>
      <c r="BQ61" s="8">
        <f t="shared" si="41"/>
        <v>0</v>
      </c>
      <c r="BR61" s="8">
        <f t="shared" si="41"/>
        <v>0</v>
      </c>
      <c r="BS61" s="8">
        <f t="shared" si="41"/>
        <v>0</v>
      </c>
      <c r="BT61" s="8">
        <f t="shared" si="38"/>
        <v>0</v>
      </c>
      <c r="BU61" s="8">
        <f t="shared" si="38"/>
        <v>0</v>
      </c>
      <c r="BV61" s="8">
        <f t="shared" si="38"/>
        <v>0</v>
      </c>
      <c r="BW61" s="8">
        <f t="shared" si="38"/>
        <v>0</v>
      </c>
      <c r="BX61" s="8">
        <f t="shared" si="38"/>
        <v>0</v>
      </c>
      <c r="BY61" s="8">
        <f t="shared" si="38"/>
        <v>0</v>
      </c>
      <c r="BZ61" s="8">
        <f t="shared" si="38"/>
        <v>0</v>
      </c>
      <c r="CA61" s="8">
        <f t="shared" si="38"/>
        <v>0</v>
      </c>
      <c r="CB61" s="8">
        <f t="shared" si="38"/>
        <v>0</v>
      </c>
      <c r="CC61" s="8">
        <f t="shared" si="38"/>
        <v>0</v>
      </c>
      <c r="CD61" s="8">
        <f t="shared" si="42"/>
        <v>0</v>
      </c>
      <c r="CE61" s="8">
        <f t="shared" si="42"/>
        <v>0</v>
      </c>
      <c r="CF61" s="8">
        <f t="shared" si="42"/>
        <v>0</v>
      </c>
      <c r="CG61" s="8">
        <f t="shared" si="42"/>
        <v>0</v>
      </c>
      <c r="CH61" s="8">
        <f t="shared" si="42"/>
        <v>0</v>
      </c>
      <c r="CI61" s="8">
        <f t="shared" si="42"/>
        <v>0</v>
      </c>
      <c r="CJ61" s="8">
        <f t="shared" si="42"/>
        <v>0</v>
      </c>
      <c r="CK61" s="29">
        <f t="shared" si="42"/>
        <v>0</v>
      </c>
      <c r="CN61" s="8">
        <v>29</v>
      </c>
      <c r="CO61" s="16">
        <v>0.05</v>
      </c>
      <c r="CP61" s="16">
        <v>-1.0799222717369949E-2</v>
      </c>
      <c r="CQ61" s="16">
        <v>1.563200455427765E-2</v>
      </c>
      <c r="CR61" s="16">
        <v>3.2629716163152009E-2</v>
      </c>
      <c r="CS61" s="16">
        <f t="shared" si="14"/>
        <v>8.7462498000059702E-2</v>
      </c>
    </row>
    <row r="62" spans="1:97" x14ac:dyDescent="0.45">
      <c r="A62" s="7"/>
      <c r="B62" s="57"/>
      <c r="C62" s="17"/>
      <c r="D62" s="17">
        <f t="shared" si="30"/>
        <v>0</v>
      </c>
      <c r="E62" s="17">
        <f t="shared" si="31"/>
        <v>0</v>
      </c>
      <c r="F62" s="17">
        <f t="shared" si="32"/>
        <v>0</v>
      </c>
      <c r="G62" s="18">
        <f t="shared" si="33"/>
        <v>0</v>
      </c>
      <c r="H62" s="18">
        <f>IFERROR(IRR((J62,L62:CK62),0),0)</f>
        <v>0</v>
      </c>
      <c r="I62" s="52">
        <f t="shared" si="34"/>
        <v>0</v>
      </c>
      <c r="J62" s="17">
        <f t="shared" si="35"/>
        <v>0</v>
      </c>
      <c r="K62" s="28">
        <f t="shared" si="36"/>
        <v>0</v>
      </c>
      <c r="L62" s="8">
        <f t="shared" si="43"/>
        <v>0</v>
      </c>
      <c r="M62" s="8">
        <f t="shared" si="43"/>
        <v>0</v>
      </c>
      <c r="N62" s="8">
        <f t="shared" si="43"/>
        <v>0</v>
      </c>
      <c r="O62" s="8">
        <f t="shared" si="43"/>
        <v>0</v>
      </c>
      <c r="P62" s="8">
        <f t="shared" si="43"/>
        <v>0</v>
      </c>
      <c r="Q62" s="8">
        <f t="shared" si="43"/>
        <v>0</v>
      </c>
      <c r="R62" s="8">
        <f t="shared" si="43"/>
        <v>0</v>
      </c>
      <c r="S62" s="8">
        <f t="shared" si="43"/>
        <v>0</v>
      </c>
      <c r="T62" s="8">
        <f t="shared" si="43"/>
        <v>0</v>
      </c>
      <c r="U62" s="8">
        <f t="shared" si="43"/>
        <v>0</v>
      </c>
      <c r="V62" s="8">
        <f t="shared" si="43"/>
        <v>0</v>
      </c>
      <c r="W62" s="8">
        <f t="shared" si="43"/>
        <v>0</v>
      </c>
      <c r="X62" s="8">
        <f t="shared" si="43"/>
        <v>0</v>
      </c>
      <c r="Y62" s="8">
        <f t="shared" si="43"/>
        <v>0</v>
      </c>
      <c r="Z62" s="8">
        <f t="shared" si="43"/>
        <v>0</v>
      </c>
      <c r="AA62" s="8">
        <f t="shared" si="43"/>
        <v>0</v>
      </c>
      <c r="AB62" s="8">
        <f t="shared" si="39"/>
        <v>0</v>
      </c>
      <c r="AC62" s="8">
        <f t="shared" si="39"/>
        <v>0</v>
      </c>
      <c r="AD62" s="8">
        <f t="shared" si="39"/>
        <v>0</v>
      </c>
      <c r="AE62" s="8">
        <f t="shared" si="39"/>
        <v>0</v>
      </c>
      <c r="AF62" s="8">
        <f t="shared" si="39"/>
        <v>0</v>
      </c>
      <c r="AG62" s="8">
        <f t="shared" si="39"/>
        <v>0</v>
      </c>
      <c r="AH62" s="8">
        <f t="shared" si="39"/>
        <v>0</v>
      </c>
      <c r="AI62" s="8">
        <f t="shared" si="39"/>
        <v>0</v>
      </c>
      <c r="AJ62" s="8">
        <f t="shared" si="39"/>
        <v>0</v>
      </c>
      <c r="AK62" s="8">
        <f t="shared" si="39"/>
        <v>0</v>
      </c>
      <c r="AL62" s="8">
        <f t="shared" si="39"/>
        <v>0</v>
      </c>
      <c r="AM62" s="8">
        <f t="shared" si="39"/>
        <v>0</v>
      </c>
      <c r="AN62" s="8">
        <f t="shared" si="39"/>
        <v>0</v>
      </c>
      <c r="AO62" s="8">
        <f t="shared" si="39"/>
        <v>0</v>
      </c>
      <c r="AP62" s="8">
        <f t="shared" si="40"/>
        <v>0</v>
      </c>
      <c r="AQ62" s="8">
        <f t="shared" si="40"/>
        <v>0</v>
      </c>
      <c r="AR62" s="8">
        <f t="shared" si="40"/>
        <v>0</v>
      </c>
      <c r="AS62" s="8">
        <f t="shared" si="40"/>
        <v>0</v>
      </c>
      <c r="AT62" s="8">
        <f t="shared" si="40"/>
        <v>0</v>
      </c>
      <c r="AU62" s="8">
        <f t="shared" si="40"/>
        <v>0</v>
      </c>
      <c r="AV62" s="8">
        <f t="shared" si="40"/>
        <v>0</v>
      </c>
      <c r="AW62" s="8">
        <f t="shared" si="40"/>
        <v>0</v>
      </c>
      <c r="AX62" s="8">
        <f t="shared" si="40"/>
        <v>0</v>
      </c>
      <c r="AY62" s="8">
        <f t="shared" si="40"/>
        <v>0</v>
      </c>
      <c r="AZ62" s="8">
        <f t="shared" si="37"/>
        <v>0</v>
      </c>
      <c r="BA62" s="8">
        <f t="shared" si="37"/>
        <v>0</v>
      </c>
      <c r="BB62" s="8">
        <f t="shared" si="37"/>
        <v>0</v>
      </c>
      <c r="BC62" s="8">
        <f t="shared" si="37"/>
        <v>0</v>
      </c>
      <c r="BD62" s="8">
        <f t="shared" si="37"/>
        <v>0</v>
      </c>
      <c r="BE62" s="8">
        <f t="shared" si="37"/>
        <v>0</v>
      </c>
      <c r="BF62" s="8">
        <f t="shared" si="37"/>
        <v>0</v>
      </c>
      <c r="BG62" s="8">
        <f t="shared" si="37"/>
        <v>0</v>
      </c>
      <c r="BH62" s="8">
        <f t="shared" si="41"/>
        <v>0</v>
      </c>
      <c r="BI62" s="8">
        <f t="shared" si="41"/>
        <v>0</v>
      </c>
      <c r="BJ62" s="8">
        <f t="shared" si="41"/>
        <v>0</v>
      </c>
      <c r="BK62" s="8">
        <f t="shared" si="41"/>
        <v>0</v>
      </c>
      <c r="BL62" s="8">
        <f t="shared" si="41"/>
        <v>0</v>
      </c>
      <c r="BM62" s="8">
        <f t="shared" si="41"/>
        <v>0</v>
      </c>
      <c r="BN62" s="8">
        <f t="shared" si="41"/>
        <v>0</v>
      </c>
      <c r="BO62" s="8">
        <f t="shared" si="41"/>
        <v>0</v>
      </c>
      <c r="BP62" s="8">
        <f t="shared" si="41"/>
        <v>0</v>
      </c>
      <c r="BQ62" s="8">
        <f t="shared" si="41"/>
        <v>0</v>
      </c>
      <c r="BR62" s="8">
        <f t="shared" si="41"/>
        <v>0</v>
      </c>
      <c r="BS62" s="8">
        <f t="shared" si="41"/>
        <v>0</v>
      </c>
      <c r="BT62" s="8">
        <f t="shared" si="38"/>
        <v>0</v>
      </c>
      <c r="BU62" s="8">
        <f t="shared" si="38"/>
        <v>0</v>
      </c>
      <c r="BV62" s="8">
        <f t="shared" si="38"/>
        <v>0</v>
      </c>
      <c r="BW62" s="8">
        <f t="shared" si="38"/>
        <v>0</v>
      </c>
      <c r="BX62" s="8">
        <f t="shared" si="38"/>
        <v>0</v>
      </c>
      <c r="BY62" s="8">
        <f t="shared" si="38"/>
        <v>0</v>
      </c>
      <c r="BZ62" s="8">
        <f t="shared" si="38"/>
        <v>0</v>
      </c>
      <c r="CA62" s="8">
        <f t="shared" si="38"/>
        <v>0</v>
      </c>
      <c r="CB62" s="8">
        <f t="shared" si="38"/>
        <v>0</v>
      </c>
      <c r="CC62" s="8">
        <f t="shared" si="38"/>
        <v>0</v>
      </c>
      <c r="CD62" s="8">
        <f t="shared" si="42"/>
        <v>0</v>
      </c>
      <c r="CE62" s="8">
        <f t="shared" si="42"/>
        <v>0</v>
      </c>
      <c r="CF62" s="8">
        <f t="shared" si="42"/>
        <v>0</v>
      </c>
      <c r="CG62" s="8">
        <f t="shared" si="42"/>
        <v>0</v>
      </c>
      <c r="CH62" s="8">
        <f t="shared" si="42"/>
        <v>0</v>
      </c>
      <c r="CI62" s="8">
        <f t="shared" si="42"/>
        <v>0</v>
      </c>
      <c r="CJ62" s="8">
        <f t="shared" si="42"/>
        <v>0</v>
      </c>
      <c r="CK62" s="29">
        <f t="shared" si="42"/>
        <v>0</v>
      </c>
      <c r="CN62" s="8">
        <v>29.5</v>
      </c>
      <c r="CO62" s="16">
        <v>0.05</v>
      </c>
      <c r="CP62" s="16">
        <v>-1.0687759963874888E-2</v>
      </c>
      <c r="CQ62" s="16">
        <v>1.5649745079725101E-2</v>
      </c>
      <c r="CR62" s="16">
        <v>3.2936362680641484E-2</v>
      </c>
      <c r="CS62" s="16">
        <f t="shared" si="14"/>
        <v>8.7898347796491694E-2</v>
      </c>
    </row>
    <row r="63" spans="1:97" x14ac:dyDescent="0.45">
      <c r="A63" s="7"/>
      <c r="B63" s="57"/>
      <c r="C63" s="17"/>
      <c r="D63" s="17">
        <f t="shared" si="30"/>
        <v>0</v>
      </c>
      <c r="E63" s="17">
        <f t="shared" si="31"/>
        <v>0</v>
      </c>
      <c r="F63" s="17">
        <f t="shared" si="32"/>
        <v>0</v>
      </c>
      <c r="G63" s="18">
        <f t="shared" si="33"/>
        <v>0</v>
      </c>
      <c r="H63" s="18">
        <f>IFERROR(IRR((J63,L63:CK63),0),0)</f>
        <v>0</v>
      </c>
      <c r="I63" s="52">
        <f t="shared" si="34"/>
        <v>0</v>
      </c>
      <c r="J63" s="17">
        <f t="shared" si="35"/>
        <v>0</v>
      </c>
      <c r="K63" s="28">
        <f t="shared" si="36"/>
        <v>0</v>
      </c>
      <c r="L63" s="8">
        <f t="shared" si="43"/>
        <v>0</v>
      </c>
      <c r="M63" s="8">
        <f t="shared" si="43"/>
        <v>0</v>
      </c>
      <c r="N63" s="8">
        <f t="shared" si="43"/>
        <v>0</v>
      </c>
      <c r="O63" s="8">
        <f t="shared" si="43"/>
        <v>0</v>
      </c>
      <c r="P63" s="8">
        <f t="shared" si="43"/>
        <v>0</v>
      </c>
      <c r="Q63" s="8">
        <f t="shared" si="43"/>
        <v>0</v>
      </c>
      <c r="R63" s="8">
        <f t="shared" si="43"/>
        <v>0</v>
      </c>
      <c r="S63" s="8">
        <f t="shared" si="43"/>
        <v>0</v>
      </c>
      <c r="T63" s="8">
        <f t="shared" si="43"/>
        <v>0</v>
      </c>
      <c r="U63" s="8">
        <f t="shared" si="43"/>
        <v>0</v>
      </c>
      <c r="V63" s="8">
        <f t="shared" si="43"/>
        <v>0</v>
      </c>
      <c r="W63" s="8">
        <f t="shared" si="43"/>
        <v>0</v>
      </c>
      <c r="X63" s="8">
        <f t="shared" si="43"/>
        <v>0</v>
      </c>
      <c r="Y63" s="8">
        <f t="shared" si="43"/>
        <v>0</v>
      </c>
      <c r="Z63" s="8">
        <f t="shared" si="43"/>
        <v>0</v>
      </c>
      <c r="AA63" s="8">
        <f t="shared" si="43"/>
        <v>0</v>
      </c>
      <c r="AB63" s="8">
        <f t="shared" si="39"/>
        <v>0</v>
      </c>
      <c r="AC63" s="8">
        <f t="shared" si="39"/>
        <v>0</v>
      </c>
      <c r="AD63" s="8">
        <f t="shared" si="39"/>
        <v>0</v>
      </c>
      <c r="AE63" s="8">
        <f t="shared" si="39"/>
        <v>0</v>
      </c>
      <c r="AF63" s="8">
        <f t="shared" si="39"/>
        <v>0</v>
      </c>
      <c r="AG63" s="8">
        <f t="shared" si="39"/>
        <v>0</v>
      </c>
      <c r="AH63" s="8">
        <f t="shared" si="39"/>
        <v>0</v>
      </c>
      <c r="AI63" s="8">
        <f t="shared" si="39"/>
        <v>0</v>
      </c>
      <c r="AJ63" s="8">
        <f t="shared" si="39"/>
        <v>0</v>
      </c>
      <c r="AK63" s="8">
        <f t="shared" si="39"/>
        <v>0</v>
      </c>
      <c r="AL63" s="8">
        <f t="shared" si="39"/>
        <v>0</v>
      </c>
      <c r="AM63" s="8">
        <f t="shared" si="39"/>
        <v>0</v>
      </c>
      <c r="AN63" s="8">
        <f t="shared" si="39"/>
        <v>0</v>
      </c>
      <c r="AO63" s="8">
        <f t="shared" si="39"/>
        <v>0</v>
      </c>
      <c r="AP63" s="8">
        <f t="shared" si="40"/>
        <v>0</v>
      </c>
      <c r="AQ63" s="8">
        <f t="shared" si="40"/>
        <v>0</v>
      </c>
      <c r="AR63" s="8">
        <f t="shared" si="40"/>
        <v>0</v>
      </c>
      <c r="AS63" s="8">
        <f t="shared" si="40"/>
        <v>0</v>
      </c>
      <c r="AT63" s="8">
        <f t="shared" si="40"/>
        <v>0</v>
      </c>
      <c r="AU63" s="8">
        <f t="shared" si="40"/>
        <v>0</v>
      </c>
      <c r="AV63" s="8">
        <f t="shared" si="40"/>
        <v>0</v>
      </c>
      <c r="AW63" s="8">
        <f t="shared" si="40"/>
        <v>0</v>
      </c>
      <c r="AX63" s="8">
        <f t="shared" si="40"/>
        <v>0</v>
      </c>
      <c r="AY63" s="8">
        <f t="shared" si="40"/>
        <v>0</v>
      </c>
      <c r="AZ63" s="8">
        <f t="shared" si="37"/>
        <v>0</v>
      </c>
      <c r="BA63" s="8">
        <f t="shared" si="37"/>
        <v>0</v>
      </c>
      <c r="BB63" s="8">
        <f t="shared" si="37"/>
        <v>0</v>
      </c>
      <c r="BC63" s="8">
        <f t="shared" si="37"/>
        <v>0</v>
      </c>
      <c r="BD63" s="8">
        <f t="shared" si="37"/>
        <v>0</v>
      </c>
      <c r="BE63" s="8">
        <f t="shared" si="37"/>
        <v>0</v>
      </c>
      <c r="BF63" s="8">
        <f t="shared" si="37"/>
        <v>0</v>
      </c>
      <c r="BG63" s="8">
        <f t="shared" si="37"/>
        <v>0</v>
      </c>
      <c r="BH63" s="8">
        <f t="shared" si="41"/>
        <v>0</v>
      </c>
      <c r="BI63" s="8">
        <f t="shared" si="41"/>
        <v>0</v>
      </c>
      <c r="BJ63" s="8">
        <f t="shared" si="41"/>
        <v>0</v>
      </c>
      <c r="BK63" s="8">
        <f t="shared" si="41"/>
        <v>0</v>
      </c>
      <c r="BL63" s="8">
        <f t="shared" si="41"/>
        <v>0</v>
      </c>
      <c r="BM63" s="8">
        <f t="shared" si="41"/>
        <v>0</v>
      </c>
      <c r="BN63" s="8">
        <f t="shared" si="41"/>
        <v>0</v>
      </c>
      <c r="BO63" s="8">
        <f t="shared" si="41"/>
        <v>0</v>
      </c>
      <c r="BP63" s="8">
        <f t="shared" si="41"/>
        <v>0</v>
      </c>
      <c r="BQ63" s="8">
        <f t="shared" si="41"/>
        <v>0</v>
      </c>
      <c r="BR63" s="8">
        <f t="shared" si="41"/>
        <v>0</v>
      </c>
      <c r="BS63" s="8">
        <f t="shared" si="41"/>
        <v>0</v>
      </c>
      <c r="BT63" s="8">
        <f t="shared" si="38"/>
        <v>0</v>
      </c>
      <c r="BU63" s="8">
        <f t="shared" si="38"/>
        <v>0</v>
      </c>
      <c r="BV63" s="8">
        <f t="shared" si="38"/>
        <v>0</v>
      </c>
      <c r="BW63" s="8">
        <f t="shared" si="38"/>
        <v>0</v>
      </c>
      <c r="BX63" s="8">
        <f t="shared" si="38"/>
        <v>0</v>
      </c>
      <c r="BY63" s="8">
        <f t="shared" si="38"/>
        <v>0</v>
      </c>
      <c r="BZ63" s="8">
        <f t="shared" si="38"/>
        <v>0</v>
      </c>
      <c r="CA63" s="8">
        <f t="shared" si="38"/>
        <v>0</v>
      </c>
      <c r="CB63" s="8">
        <f t="shared" si="38"/>
        <v>0</v>
      </c>
      <c r="CC63" s="8">
        <f t="shared" si="38"/>
        <v>0</v>
      </c>
      <c r="CD63" s="8">
        <f t="shared" si="42"/>
        <v>0</v>
      </c>
      <c r="CE63" s="8">
        <f t="shared" si="42"/>
        <v>0</v>
      </c>
      <c r="CF63" s="8">
        <f t="shared" si="42"/>
        <v>0</v>
      </c>
      <c r="CG63" s="8">
        <f t="shared" si="42"/>
        <v>0</v>
      </c>
      <c r="CH63" s="8">
        <f t="shared" si="42"/>
        <v>0</v>
      </c>
      <c r="CI63" s="8">
        <f t="shared" si="42"/>
        <v>0</v>
      </c>
      <c r="CJ63" s="8">
        <f t="shared" si="42"/>
        <v>0</v>
      </c>
      <c r="CK63" s="29">
        <f t="shared" si="42"/>
        <v>0</v>
      </c>
      <c r="CN63" s="8">
        <v>30</v>
      </c>
      <c r="CO63" s="16">
        <v>0.05</v>
      </c>
      <c r="CP63" s="16">
        <v>-1.0578059281701677E-2</v>
      </c>
      <c r="CQ63" s="16">
        <v>1.566379942947901E-2</v>
      </c>
      <c r="CR63" s="16">
        <v>3.3236648460894039E-2</v>
      </c>
      <c r="CS63" s="16">
        <f t="shared" si="14"/>
        <v>8.8322388608671379E-2</v>
      </c>
    </row>
    <row r="64" spans="1:97" x14ac:dyDescent="0.45">
      <c r="A64" s="7"/>
      <c r="B64" s="57"/>
      <c r="C64" s="17"/>
      <c r="D64" s="17">
        <f t="shared" si="30"/>
        <v>0</v>
      </c>
      <c r="E64" s="17">
        <f t="shared" si="31"/>
        <v>0</v>
      </c>
      <c r="F64" s="17">
        <f t="shared" si="32"/>
        <v>0</v>
      </c>
      <c r="G64" s="18">
        <f t="shared" si="33"/>
        <v>0</v>
      </c>
      <c r="H64" s="18">
        <f>IFERROR(IRR((J64,L64:CK64),0),0)</f>
        <v>0</v>
      </c>
      <c r="I64" s="52">
        <f t="shared" si="34"/>
        <v>0</v>
      </c>
      <c r="J64" s="17">
        <f t="shared" si="35"/>
        <v>0</v>
      </c>
      <c r="K64" s="28">
        <f t="shared" si="36"/>
        <v>0</v>
      </c>
      <c r="L64" s="8">
        <f t="shared" si="43"/>
        <v>0</v>
      </c>
      <c r="M64" s="8">
        <f t="shared" si="43"/>
        <v>0</v>
      </c>
      <c r="N64" s="8">
        <f t="shared" si="43"/>
        <v>0</v>
      </c>
      <c r="O64" s="8">
        <f t="shared" si="43"/>
        <v>0</v>
      </c>
      <c r="P64" s="8">
        <f t="shared" si="43"/>
        <v>0</v>
      </c>
      <c r="Q64" s="8">
        <f t="shared" si="43"/>
        <v>0</v>
      </c>
      <c r="R64" s="8">
        <f t="shared" si="43"/>
        <v>0</v>
      </c>
      <c r="S64" s="8">
        <f t="shared" si="43"/>
        <v>0</v>
      </c>
      <c r="T64" s="8">
        <f t="shared" si="43"/>
        <v>0</v>
      </c>
      <c r="U64" s="8">
        <f t="shared" si="43"/>
        <v>0</v>
      </c>
      <c r="V64" s="8">
        <f t="shared" si="43"/>
        <v>0</v>
      </c>
      <c r="W64" s="8">
        <f t="shared" si="43"/>
        <v>0</v>
      </c>
      <c r="X64" s="8">
        <f t="shared" si="43"/>
        <v>0</v>
      </c>
      <c r="Y64" s="8">
        <f t="shared" si="43"/>
        <v>0</v>
      </c>
      <c r="Z64" s="8">
        <f t="shared" si="43"/>
        <v>0</v>
      </c>
      <c r="AA64" s="8">
        <f t="shared" si="43"/>
        <v>0</v>
      </c>
      <c r="AB64" s="8">
        <f t="shared" si="39"/>
        <v>0</v>
      </c>
      <c r="AC64" s="8">
        <f t="shared" si="39"/>
        <v>0</v>
      </c>
      <c r="AD64" s="8">
        <f t="shared" si="39"/>
        <v>0</v>
      </c>
      <c r="AE64" s="8">
        <f t="shared" si="39"/>
        <v>0</v>
      </c>
      <c r="AF64" s="8">
        <f t="shared" si="39"/>
        <v>0</v>
      </c>
      <c r="AG64" s="8">
        <f t="shared" si="39"/>
        <v>0</v>
      </c>
      <c r="AH64" s="8">
        <f t="shared" si="39"/>
        <v>0</v>
      </c>
      <c r="AI64" s="8">
        <f t="shared" si="39"/>
        <v>0</v>
      </c>
      <c r="AJ64" s="8">
        <f t="shared" si="39"/>
        <v>0</v>
      </c>
      <c r="AK64" s="8">
        <f t="shared" si="39"/>
        <v>0</v>
      </c>
      <c r="AL64" s="8">
        <f t="shared" si="39"/>
        <v>0</v>
      </c>
      <c r="AM64" s="8">
        <f t="shared" si="39"/>
        <v>0</v>
      </c>
      <c r="AN64" s="8">
        <f t="shared" si="39"/>
        <v>0</v>
      </c>
      <c r="AO64" s="8">
        <f t="shared" si="39"/>
        <v>0</v>
      </c>
      <c r="AP64" s="8">
        <f t="shared" si="40"/>
        <v>0</v>
      </c>
      <c r="AQ64" s="8">
        <f t="shared" si="40"/>
        <v>0</v>
      </c>
      <c r="AR64" s="8">
        <f t="shared" si="40"/>
        <v>0</v>
      </c>
      <c r="AS64" s="8">
        <f t="shared" si="40"/>
        <v>0</v>
      </c>
      <c r="AT64" s="8">
        <f t="shared" si="40"/>
        <v>0</v>
      </c>
      <c r="AU64" s="8">
        <f t="shared" si="40"/>
        <v>0</v>
      </c>
      <c r="AV64" s="8">
        <f t="shared" si="40"/>
        <v>0</v>
      </c>
      <c r="AW64" s="8">
        <f t="shared" si="40"/>
        <v>0</v>
      </c>
      <c r="AX64" s="8">
        <f t="shared" si="40"/>
        <v>0</v>
      </c>
      <c r="AY64" s="8">
        <f t="shared" si="40"/>
        <v>0</v>
      </c>
      <c r="AZ64" s="8">
        <f t="shared" si="37"/>
        <v>0</v>
      </c>
      <c r="BA64" s="8">
        <f t="shared" si="37"/>
        <v>0</v>
      </c>
      <c r="BB64" s="8">
        <f t="shared" si="37"/>
        <v>0</v>
      </c>
      <c r="BC64" s="8">
        <f t="shared" si="37"/>
        <v>0</v>
      </c>
      <c r="BD64" s="8">
        <f t="shared" si="37"/>
        <v>0</v>
      </c>
      <c r="BE64" s="8">
        <f t="shared" si="37"/>
        <v>0</v>
      </c>
      <c r="BF64" s="8">
        <f t="shared" si="37"/>
        <v>0</v>
      </c>
      <c r="BG64" s="8">
        <f t="shared" si="37"/>
        <v>0</v>
      </c>
      <c r="BH64" s="8">
        <f t="shared" si="41"/>
        <v>0</v>
      </c>
      <c r="BI64" s="8">
        <f t="shared" si="41"/>
        <v>0</v>
      </c>
      <c r="BJ64" s="8">
        <f t="shared" si="41"/>
        <v>0</v>
      </c>
      <c r="BK64" s="8">
        <f t="shared" si="41"/>
        <v>0</v>
      </c>
      <c r="BL64" s="8">
        <f t="shared" si="41"/>
        <v>0</v>
      </c>
      <c r="BM64" s="8">
        <f t="shared" si="41"/>
        <v>0</v>
      </c>
      <c r="BN64" s="8">
        <f t="shared" si="41"/>
        <v>0</v>
      </c>
      <c r="BO64" s="8">
        <f t="shared" si="41"/>
        <v>0</v>
      </c>
      <c r="BP64" s="8">
        <f t="shared" si="41"/>
        <v>0</v>
      </c>
      <c r="BQ64" s="8">
        <f t="shared" si="41"/>
        <v>0</v>
      </c>
      <c r="BR64" s="8">
        <f t="shared" si="41"/>
        <v>0</v>
      </c>
      <c r="BS64" s="8">
        <f t="shared" si="41"/>
        <v>0</v>
      </c>
      <c r="BT64" s="8">
        <f t="shared" si="38"/>
        <v>0</v>
      </c>
      <c r="BU64" s="8">
        <f t="shared" si="38"/>
        <v>0</v>
      </c>
      <c r="BV64" s="8">
        <f t="shared" si="38"/>
        <v>0</v>
      </c>
      <c r="BW64" s="8">
        <f t="shared" si="38"/>
        <v>0</v>
      </c>
      <c r="BX64" s="8">
        <f t="shared" si="38"/>
        <v>0</v>
      </c>
      <c r="BY64" s="8">
        <f t="shared" si="38"/>
        <v>0</v>
      </c>
      <c r="BZ64" s="8">
        <f t="shared" si="38"/>
        <v>0</v>
      </c>
      <c r="CA64" s="8">
        <f t="shared" si="38"/>
        <v>0</v>
      </c>
      <c r="CB64" s="8">
        <f t="shared" si="38"/>
        <v>0</v>
      </c>
      <c r="CC64" s="8">
        <f t="shared" si="38"/>
        <v>0</v>
      </c>
      <c r="CD64" s="8">
        <f t="shared" si="42"/>
        <v>0</v>
      </c>
      <c r="CE64" s="8">
        <f t="shared" si="42"/>
        <v>0</v>
      </c>
      <c r="CF64" s="8">
        <f t="shared" si="42"/>
        <v>0</v>
      </c>
      <c r="CG64" s="8">
        <f t="shared" si="42"/>
        <v>0</v>
      </c>
      <c r="CH64" s="8">
        <f t="shared" si="42"/>
        <v>0</v>
      </c>
      <c r="CI64" s="8">
        <f t="shared" si="42"/>
        <v>0</v>
      </c>
      <c r="CJ64" s="8">
        <f t="shared" si="42"/>
        <v>0</v>
      </c>
      <c r="CK64" s="29">
        <f t="shared" si="42"/>
        <v>0</v>
      </c>
      <c r="CN64" s="8">
        <v>30.5</v>
      </c>
      <c r="CO64" s="16">
        <v>0.05</v>
      </c>
      <c r="CP64" s="16">
        <v>-1.0470087335468213E-2</v>
      </c>
      <c r="CQ64" s="16">
        <v>1.5674307253732003E-2</v>
      </c>
      <c r="CR64" s="16">
        <v>3.3530666639929756E-2</v>
      </c>
      <c r="CS64" s="16">
        <f t="shared" si="14"/>
        <v>8.873488655819356E-2</v>
      </c>
    </row>
    <row r="65" spans="1:100" x14ac:dyDescent="0.45">
      <c r="A65" s="7"/>
      <c r="B65" s="57"/>
      <c r="C65" s="17"/>
      <c r="D65" s="17">
        <f t="shared" si="30"/>
        <v>0</v>
      </c>
      <c r="E65" s="17">
        <f t="shared" si="31"/>
        <v>0</v>
      </c>
      <c r="F65" s="17">
        <f t="shared" si="32"/>
        <v>0</v>
      </c>
      <c r="G65" s="18">
        <f t="shared" si="33"/>
        <v>0</v>
      </c>
      <c r="H65" s="18">
        <f>IFERROR(IRR((J65,L65:CK65),0),0)</f>
        <v>0</v>
      </c>
      <c r="I65" s="52">
        <f t="shared" si="34"/>
        <v>0</v>
      </c>
      <c r="J65" s="17">
        <f t="shared" si="35"/>
        <v>0</v>
      </c>
      <c r="K65" s="28">
        <f t="shared" si="36"/>
        <v>0</v>
      </c>
      <c r="L65" s="8">
        <f t="shared" si="43"/>
        <v>0</v>
      </c>
      <c r="M65" s="8">
        <f t="shared" si="43"/>
        <v>0</v>
      </c>
      <c r="N65" s="8">
        <f t="shared" si="43"/>
        <v>0</v>
      </c>
      <c r="O65" s="8">
        <f t="shared" si="43"/>
        <v>0</v>
      </c>
      <c r="P65" s="8">
        <f t="shared" si="43"/>
        <v>0</v>
      </c>
      <c r="Q65" s="8">
        <f t="shared" si="43"/>
        <v>0</v>
      </c>
      <c r="R65" s="8">
        <f t="shared" si="43"/>
        <v>0</v>
      </c>
      <c r="S65" s="8">
        <f t="shared" si="43"/>
        <v>0</v>
      </c>
      <c r="T65" s="8">
        <f t="shared" si="43"/>
        <v>0</v>
      </c>
      <c r="U65" s="8">
        <f t="shared" si="43"/>
        <v>0</v>
      </c>
      <c r="V65" s="8">
        <f t="shared" si="43"/>
        <v>0</v>
      </c>
      <c r="W65" s="8">
        <f t="shared" si="43"/>
        <v>0</v>
      </c>
      <c r="X65" s="8">
        <f t="shared" si="43"/>
        <v>0</v>
      </c>
      <c r="Y65" s="8">
        <f t="shared" si="43"/>
        <v>0</v>
      </c>
      <c r="Z65" s="8">
        <f t="shared" si="43"/>
        <v>0</v>
      </c>
      <c r="AA65" s="8">
        <f t="shared" si="43"/>
        <v>0</v>
      </c>
      <c r="AB65" s="8">
        <f t="shared" si="39"/>
        <v>0</v>
      </c>
      <c r="AC65" s="8">
        <f t="shared" si="39"/>
        <v>0</v>
      </c>
      <c r="AD65" s="8">
        <f t="shared" si="39"/>
        <v>0</v>
      </c>
      <c r="AE65" s="8">
        <f t="shared" si="39"/>
        <v>0</v>
      </c>
      <c r="AF65" s="8">
        <f t="shared" si="39"/>
        <v>0</v>
      </c>
      <c r="AG65" s="8">
        <f t="shared" si="39"/>
        <v>0</v>
      </c>
      <c r="AH65" s="8">
        <f t="shared" si="39"/>
        <v>0</v>
      </c>
      <c r="AI65" s="8">
        <f t="shared" si="39"/>
        <v>0</v>
      </c>
      <c r="AJ65" s="8">
        <f t="shared" si="39"/>
        <v>0</v>
      </c>
      <c r="AK65" s="8">
        <f t="shared" si="39"/>
        <v>0</v>
      </c>
      <c r="AL65" s="8">
        <f t="shared" si="39"/>
        <v>0</v>
      </c>
      <c r="AM65" s="8">
        <f t="shared" si="39"/>
        <v>0</v>
      </c>
      <c r="AN65" s="8">
        <f t="shared" si="39"/>
        <v>0</v>
      </c>
      <c r="AO65" s="8">
        <f t="shared" si="39"/>
        <v>0</v>
      </c>
      <c r="AP65" s="8">
        <f t="shared" si="40"/>
        <v>0</v>
      </c>
      <c r="AQ65" s="8">
        <f t="shared" si="40"/>
        <v>0</v>
      </c>
      <c r="AR65" s="8">
        <f t="shared" si="40"/>
        <v>0</v>
      </c>
      <c r="AS65" s="8">
        <f t="shared" si="40"/>
        <v>0</v>
      </c>
      <c r="AT65" s="8">
        <f t="shared" si="40"/>
        <v>0</v>
      </c>
      <c r="AU65" s="8">
        <f t="shared" si="40"/>
        <v>0</v>
      </c>
      <c r="AV65" s="8">
        <f t="shared" si="40"/>
        <v>0</v>
      </c>
      <c r="AW65" s="8">
        <f t="shared" si="40"/>
        <v>0</v>
      </c>
      <c r="AX65" s="8">
        <f t="shared" si="40"/>
        <v>0</v>
      </c>
      <c r="AY65" s="8">
        <f t="shared" si="40"/>
        <v>0</v>
      </c>
      <c r="AZ65" s="8">
        <f t="shared" si="37"/>
        <v>0</v>
      </c>
      <c r="BA65" s="8">
        <f t="shared" si="37"/>
        <v>0</v>
      </c>
      <c r="BB65" s="8">
        <f t="shared" si="37"/>
        <v>0</v>
      </c>
      <c r="BC65" s="8">
        <f t="shared" si="37"/>
        <v>0</v>
      </c>
      <c r="BD65" s="8">
        <f t="shared" si="37"/>
        <v>0</v>
      </c>
      <c r="BE65" s="8">
        <f t="shared" si="37"/>
        <v>0</v>
      </c>
      <c r="BF65" s="8">
        <f t="shared" si="37"/>
        <v>0</v>
      </c>
      <c r="BG65" s="8">
        <f t="shared" si="37"/>
        <v>0</v>
      </c>
      <c r="BH65" s="8">
        <f t="shared" si="41"/>
        <v>0</v>
      </c>
      <c r="BI65" s="8">
        <f t="shared" si="41"/>
        <v>0</v>
      </c>
      <c r="BJ65" s="8">
        <f t="shared" si="41"/>
        <v>0</v>
      </c>
      <c r="BK65" s="8">
        <f t="shared" si="41"/>
        <v>0</v>
      </c>
      <c r="BL65" s="8">
        <f t="shared" si="41"/>
        <v>0</v>
      </c>
      <c r="BM65" s="8">
        <f t="shared" si="41"/>
        <v>0</v>
      </c>
      <c r="BN65" s="8">
        <f t="shared" si="41"/>
        <v>0</v>
      </c>
      <c r="BO65" s="8">
        <f t="shared" si="41"/>
        <v>0</v>
      </c>
      <c r="BP65" s="8">
        <f t="shared" si="41"/>
        <v>0</v>
      </c>
      <c r="BQ65" s="8">
        <f t="shared" si="41"/>
        <v>0</v>
      </c>
      <c r="BR65" s="8">
        <f t="shared" si="41"/>
        <v>0</v>
      </c>
      <c r="BS65" s="8">
        <f t="shared" si="41"/>
        <v>0</v>
      </c>
      <c r="BT65" s="8">
        <f t="shared" si="38"/>
        <v>0</v>
      </c>
      <c r="BU65" s="8">
        <f t="shared" si="38"/>
        <v>0</v>
      </c>
      <c r="BV65" s="8">
        <f t="shared" si="38"/>
        <v>0</v>
      </c>
      <c r="BW65" s="8">
        <f t="shared" si="38"/>
        <v>0</v>
      </c>
      <c r="BX65" s="8">
        <f t="shared" si="38"/>
        <v>0</v>
      </c>
      <c r="BY65" s="8">
        <f t="shared" si="38"/>
        <v>0</v>
      </c>
      <c r="BZ65" s="8">
        <f t="shared" si="38"/>
        <v>0</v>
      </c>
      <c r="CA65" s="8">
        <f t="shared" si="38"/>
        <v>0</v>
      </c>
      <c r="CB65" s="8">
        <f t="shared" si="38"/>
        <v>0</v>
      </c>
      <c r="CC65" s="8">
        <f t="shared" si="38"/>
        <v>0</v>
      </c>
      <c r="CD65" s="8">
        <f t="shared" si="42"/>
        <v>0</v>
      </c>
      <c r="CE65" s="8">
        <f t="shared" si="42"/>
        <v>0</v>
      </c>
      <c r="CF65" s="8">
        <f t="shared" si="42"/>
        <v>0</v>
      </c>
      <c r="CG65" s="8">
        <f t="shared" si="42"/>
        <v>0</v>
      </c>
      <c r="CH65" s="8">
        <f t="shared" si="42"/>
        <v>0</v>
      </c>
      <c r="CI65" s="8">
        <f t="shared" si="42"/>
        <v>0</v>
      </c>
      <c r="CJ65" s="8">
        <f t="shared" si="42"/>
        <v>0</v>
      </c>
      <c r="CK65" s="29">
        <f t="shared" si="42"/>
        <v>0</v>
      </c>
      <c r="CN65" s="8">
        <v>31</v>
      </c>
      <c r="CO65" s="16">
        <v>0.05</v>
      </c>
      <c r="CP65" s="16">
        <v>-1.0363811484403013E-2</v>
      </c>
      <c r="CQ65" s="16">
        <v>1.5681403773799521E-2</v>
      </c>
      <c r="CR65" s="16">
        <v>3.3818509102563933E-2</v>
      </c>
      <c r="CS65" s="16">
        <f t="shared" si="14"/>
        <v>8.9136101391960446E-2</v>
      </c>
    </row>
    <row r="66" spans="1:100" x14ac:dyDescent="0.45">
      <c r="A66" s="7"/>
      <c r="B66" s="57"/>
      <c r="C66" s="17"/>
      <c r="D66" s="17">
        <f t="shared" si="30"/>
        <v>0</v>
      </c>
      <c r="E66" s="17">
        <f t="shared" si="31"/>
        <v>0</v>
      </c>
      <c r="F66" s="17">
        <f t="shared" si="32"/>
        <v>0</v>
      </c>
      <c r="G66" s="18">
        <f t="shared" si="33"/>
        <v>0</v>
      </c>
      <c r="H66" s="18">
        <f>IFERROR(IRR((J66,L66:CK66),0),0)</f>
        <v>0</v>
      </c>
      <c r="I66" s="52">
        <f t="shared" si="34"/>
        <v>0</v>
      </c>
      <c r="J66" s="17">
        <f t="shared" si="35"/>
        <v>0</v>
      </c>
      <c r="K66" s="28">
        <f t="shared" si="36"/>
        <v>0</v>
      </c>
      <c r="L66" s="8">
        <f t="shared" si="43"/>
        <v>0</v>
      </c>
      <c r="M66" s="8">
        <f t="shared" si="43"/>
        <v>0</v>
      </c>
      <c r="N66" s="8">
        <f t="shared" si="43"/>
        <v>0</v>
      </c>
      <c r="O66" s="8">
        <f t="shared" si="43"/>
        <v>0</v>
      </c>
      <c r="P66" s="8">
        <f t="shared" si="43"/>
        <v>0</v>
      </c>
      <c r="Q66" s="8">
        <f t="shared" si="43"/>
        <v>0</v>
      </c>
      <c r="R66" s="8">
        <f t="shared" si="43"/>
        <v>0</v>
      </c>
      <c r="S66" s="8">
        <f t="shared" si="43"/>
        <v>0</v>
      </c>
      <c r="T66" s="8">
        <f t="shared" si="43"/>
        <v>0</v>
      </c>
      <c r="U66" s="8">
        <f t="shared" si="43"/>
        <v>0</v>
      </c>
      <c r="V66" s="8">
        <f t="shared" si="43"/>
        <v>0</v>
      </c>
      <c r="W66" s="8">
        <f t="shared" si="43"/>
        <v>0</v>
      </c>
      <c r="X66" s="8">
        <f t="shared" si="43"/>
        <v>0</v>
      </c>
      <c r="Y66" s="8">
        <f t="shared" si="43"/>
        <v>0</v>
      </c>
      <c r="Z66" s="8">
        <f t="shared" si="43"/>
        <v>0</v>
      </c>
      <c r="AA66" s="8">
        <f t="shared" si="43"/>
        <v>0</v>
      </c>
      <c r="AB66" s="8">
        <f t="shared" si="39"/>
        <v>0</v>
      </c>
      <c r="AC66" s="8">
        <f t="shared" si="39"/>
        <v>0</v>
      </c>
      <c r="AD66" s="8">
        <f t="shared" si="39"/>
        <v>0</v>
      </c>
      <c r="AE66" s="8">
        <f t="shared" si="39"/>
        <v>0</v>
      </c>
      <c r="AF66" s="8">
        <f t="shared" si="39"/>
        <v>0</v>
      </c>
      <c r="AG66" s="8">
        <f t="shared" si="39"/>
        <v>0</v>
      </c>
      <c r="AH66" s="8">
        <f t="shared" si="39"/>
        <v>0</v>
      </c>
      <c r="AI66" s="8">
        <f t="shared" si="39"/>
        <v>0</v>
      </c>
      <c r="AJ66" s="8">
        <f t="shared" si="39"/>
        <v>0</v>
      </c>
      <c r="AK66" s="8">
        <f t="shared" si="39"/>
        <v>0</v>
      </c>
      <c r="AL66" s="8">
        <f t="shared" si="39"/>
        <v>0</v>
      </c>
      <c r="AM66" s="8">
        <f t="shared" si="39"/>
        <v>0</v>
      </c>
      <c r="AN66" s="8">
        <f t="shared" si="39"/>
        <v>0</v>
      </c>
      <c r="AO66" s="8">
        <f t="shared" si="39"/>
        <v>0</v>
      </c>
      <c r="AP66" s="8">
        <f t="shared" si="40"/>
        <v>0</v>
      </c>
      <c r="AQ66" s="8">
        <f t="shared" si="40"/>
        <v>0</v>
      </c>
      <c r="AR66" s="8">
        <f t="shared" si="40"/>
        <v>0</v>
      </c>
      <c r="AS66" s="8">
        <f t="shared" si="40"/>
        <v>0</v>
      </c>
      <c r="AT66" s="8">
        <f t="shared" si="40"/>
        <v>0</v>
      </c>
      <c r="AU66" s="8">
        <f t="shared" si="40"/>
        <v>0</v>
      </c>
      <c r="AV66" s="8">
        <f t="shared" si="40"/>
        <v>0</v>
      </c>
      <c r="AW66" s="8">
        <f t="shared" si="40"/>
        <v>0</v>
      </c>
      <c r="AX66" s="8">
        <f t="shared" si="40"/>
        <v>0</v>
      </c>
      <c r="AY66" s="8">
        <f t="shared" si="40"/>
        <v>0</v>
      </c>
      <c r="AZ66" s="8">
        <f t="shared" si="37"/>
        <v>0</v>
      </c>
      <c r="BA66" s="8">
        <f t="shared" si="37"/>
        <v>0</v>
      </c>
      <c r="BB66" s="8">
        <f t="shared" si="37"/>
        <v>0</v>
      </c>
      <c r="BC66" s="8">
        <f t="shared" si="37"/>
        <v>0</v>
      </c>
      <c r="BD66" s="8">
        <f t="shared" si="37"/>
        <v>0</v>
      </c>
      <c r="BE66" s="8">
        <f t="shared" si="37"/>
        <v>0</v>
      </c>
      <c r="BF66" s="8">
        <f t="shared" si="37"/>
        <v>0</v>
      </c>
      <c r="BG66" s="8">
        <f t="shared" si="37"/>
        <v>0</v>
      </c>
      <c r="BH66" s="8">
        <f t="shared" si="41"/>
        <v>0</v>
      </c>
      <c r="BI66" s="8">
        <f t="shared" si="41"/>
        <v>0</v>
      </c>
      <c r="BJ66" s="8">
        <f t="shared" si="41"/>
        <v>0</v>
      </c>
      <c r="BK66" s="8">
        <f t="shared" si="41"/>
        <v>0</v>
      </c>
      <c r="BL66" s="8">
        <f t="shared" si="41"/>
        <v>0</v>
      </c>
      <c r="BM66" s="8">
        <f t="shared" si="41"/>
        <v>0</v>
      </c>
      <c r="BN66" s="8">
        <f t="shared" si="41"/>
        <v>0</v>
      </c>
      <c r="BO66" s="8">
        <f t="shared" si="41"/>
        <v>0</v>
      </c>
      <c r="BP66" s="8">
        <f t="shared" si="41"/>
        <v>0</v>
      </c>
      <c r="BQ66" s="8">
        <f t="shared" si="41"/>
        <v>0</v>
      </c>
      <c r="BR66" s="8">
        <f t="shared" si="41"/>
        <v>0</v>
      </c>
      <c r="BS66" s="8">
        <f t="shared" si="41"/>
        <v>0</v>
      </c>
      <c r="BT66" s="8">
        <f t="shared" si="38"/>
        <v>0</v>
      </c>
      <c r="BU66" s="8">
        <f t="shared" si="38"/>
        <v>0</v>
      </c>
      <c r="BV66" s="8">
        <f t="shared" si="38"/>
        <v>0</v>
      </c>
      <c r="BW66" s="8">
        <f t="shared" si="38"/>
        <v>0</v>
      </c>
      <c r="BX66" s="8">
        <f t="shared" si="38"/>
        <v>0</v>
      </c>
      <c r="BY66" s="8">
        <f t="shared" si="38"/>
        <v>0</v>
      </c>
      <c r="BZ66" s="8">
        <f t="shared" si="38"/>
        <v>0</v>
      </c>
      <c r="CA66" s="8">
        <f t="shared" si="38"/>
        <v>0</v>
      </c>
      <c r="CB66" s="8">
        <f t="shared" si="38"/>
        <v>0</v>
      </c>
      <c r="CC66" s="8">
        <f t="shared" si="38"/>
        <v>0</v>
      </c>
      <c r="CD66" s="8">
        <f t="shared" si="42"/>
        <v>0</v>
      </c>
      <c r="CE66" s="8">
        <f t="shared" si="42"/>
        <v>0</v>
      </c>
      <c r="CF66" s="8">
        <f t="shared" si="42"/>
        <v>0</v>
      </c>
      <c r="CG66" s="8">
        <f t="shared" si="42"/>
        <v>0</v>
      </c>
      <c r="CH66" s="8">
        <f t="shared" si="42"/>
        <v>0</v>
      </c>
      <c r="CI66" s="8">
        <f t="shared" si="42"/>
        <v>0</v>
      </c>
      <c r="CJ66" s="8">
        <f t="shared" si="42"/>
        <v>0</v>
      </c>
      <c r="CK66" s="29">
        <f t="shared" si="42"/>
        <v>0</v>
      </c>
      <c r="CN66" s="8">
        <v>31.5</v>
      </c>
      <c r="CO66" s="16">
        <v>0.05</v>
      </c>
      <c r="CP66" s="16">
        <v>-1.0259199766986816E-2</v>
      </c>
      <c r="CQ66" s="16">
        <v>1.5685219914439323E-2</v>
      </c>
      <c r="CR66" s="16">
        <v>3.410026649864286E-2</v>
      </c>
      <c r="CS66" s="16">
        <f t="shared" si="14"/>
        <v>8.9526286646095368E-2</v>
      </c>
    </row>
    <row r="67" spans="1:100" x14ac:dyDescent="0.45">
      <c r="A67" s="7"/>
      <c r="B67" s="57"/>
      <c r="C67" s="17"/>
      <c r="D67" s="17"/>
      <c r="E67" s="17"/>
      <c r="G67" s="18"/>
      <c r="H67" s="18"/>
      <c r="I67" s="52"/>
      <c r="J67" s="17"/>
      <c r="K67" s="28"/>
      <c r="CK67" s="29"/>
      <c r="CN67" s="7">
        <v>32</v>
      </c>
      <c r="CO67" s="57">
        <v>0.05</v>
      </c>
      <c r="CP67" s="17">
        <v>-1.0156220885947554E-2</v>
      </c>
      <c r="CQ67" s="17">
        <v>1.5685882432323786E-2</v>
      </c>
      <c r="CR67" s="17">
        <v>3.4376028259072426E-2</v>
      </c>
      <c r="CS67" s="16">
        <f t="shared" si="14"/>
        <v>8.9905689805448663E-2</v>
      </c>
      <c r="CT67" s="18"/>
      <c r="CU67" s="18"/>
      <c r="CV67" s="44"/>
    </row>
    <row r="68" spans="1:100" x14ac:dyDescent="0.45">
      <c r="A68" s="7"/>
      <c r="B68" s="57"/>
      <c r="C68" s="17"/>
      <c r="D68" s="17"/>
      <c r="E68" s="17"/>
      <c r="G68" s="18"/>
      <c r="H68" s="18"/>
      <c r="I68" s="52"/>
      <c r="J68" s="17"/>
      <c r="K68" s="28"/>
      <c r="CK68" s="29"/>
      <c r="CN68" s="7">
        <v>32.5</v>
      </c>
      <c r="CO68" s="57">
        <v>0.05</v>
      </c>
      <c r="CP68" s="17">
        <v>-1.0054844193600301E-2</v>
      </c>
      <c r="CQ68" s="17">
        <v>1.5683514040775188E-2</v>
      </c>
      <c r="CR68" s="17">
        <v>3.4645882611642427E-2</v>
      </c>
      <c r="CS68" s="16">
        <f t="shared" si="14"/>
        <v>9.0274552458817325E-2</v>
      </c>
      <c r="CT68" s="18"/>
      <c r="CU68" s="18"/>
      <c r="CV68" s="44"/>
    </row>
    <row r="69" spans="1:100" x14ac:dyDescent="0.45">
      <c r="A69" s="7"/>
      <c r="B69" s="57"/>
      <c r="C69" s="17"/>
      <c r="D69" s="17"/>
      <c r="E69" s="17"/>
      <c r="G69" s="18"/>
      <c r="H69" s="18"/>
      <c r="I69" s="52"/>
      <c r="J69" s="17"/>
      <c r="K69" s="28"/>
      <c r="CK69" s="29"/>
      <c r="CN69" s="7">
        <v>33</v>
      </c>
      <c r="CO69" s="57">
        <v>0.05</v>
      </c>
      <c r="CP69" s="17">
        <v>-9.9550396775240409E-3</v>
      </c>
      <c r="CQ69" s="17">
        <v>1.5678233530871135E-2</v>
      </c>
      <c r="CR69" s="17">
        <v>3.4909916596649021E-2</v>
      </c>
      <c r="CS69" s="16">
        <f t="shared" si="14"/>
        <v>9.0633110449996113E-2</v>
      </c>
      <c r="CT69" s="18"/>
      <c r="CU69" s="18"/>
      <c r="CV69" s="44"/>
    </row>
    <row r="70" spans="1:100" x14ac:dyDescent="0.45">
      <c r="A70" s="7"/>
      <c r="B70" s="57"/>
      <c r="C70" s="17"/>
      <c r="D70" s="17"/>
      <c r="E70" s="17"/>
      <c r="G70" s="18"/>
      <c r="H70" s="18"/>
      <c r="I70" s="52"/>
      <c r="J70" s="17"/>
      <c r="K70" s="28"/>
      <c r="CK70" s="29"/>
      <c r="CN70" s="7">
        <v>33.5</v>
      </c>
      <c r="CO70" s="57">
        <v>0.05</v>
      </c>
      <c r="CP70" s="17">
        <v>-9.856777946567306E-3</v>
      </c>
      <c r="CQ70" s="17">
        <v>1.567015588902422E-2</v>
      </c>
      <c r="CR70" s="17">
        <v>3.516821608231762E-2</v>
      </c>
      <c r="CS70" s="16">
        <f t="shared" ref="CS70:CS133" si="44">SUM(CO70:CR70)</f>
        <v>9.0981594024774542E-2</v>
      </c>
      <c r="CT70" s="18"/>
      <c r="CU70" s="18"/>
      <c r="CV70" s="44"/>
    </row>
    <row r="71" spans="1:100" x14ac:dyDescent="0.45">
      <c r="A71" s="7"/>
      <c r="B71" s="57"/>
      <c r="C71" s="17"/>
      <c r="D71" s="17"/>
      <c r="E71" s="17"/>
      <c r="G71" s="18"/>
      <c r="H71" s="18"/>
      <c r="I71" s="52"/>
      <c r="J71" s="17"/>
      <c r="K71" s="28"/>
      <c r="CK71" s="29"/>
      <c r="CN71" s="7">
        <v>34</v>
      </c>
      <c r="CO71" s="57">
        <v>0.05</v>
      </c>
      <c r="CP71" s="17">
        <v>-9.7600302171749181E-3</v>
      </c>
      <c r="CQ71" s="17">
        <v>1.5659392411136917E-2</v>
      </c>
      <c r="CR71" s="17">
        <v>3.5420865780029537E-2</v>
      </c>
      <c r="CS71" s="16">
        <f t="shared" si="44"/>
        <v>9.132022797399153E-2</v>
      </c>
      <c r="CT71" s="18"/>
      <c r="CU71" s="18"/>
      <c r="CV71" s="44"/>
    </row>
    <row r="72" spans="1:100" x14ac:dyDescent="0.45">
      <c r="A72" s="7"/>
      <c r="B72" s="57"/>
      <c r="C72" s="17"/>
      <c r="D72" s="17"/>
      <c r="E72" s="17"/>
      <c r="G72" s="18"/>
      <c r="H72" s="18"/>
      <c r="I72" s="52"/>
      <c r="J72" s="17"/>
      <c r="K72" s="28"/>
      <c r="CK72" s="29"/>
      <c r="CN72" s="7">
        <v>34.5</v>
      </c>
      <c r="CO72" s="49">
        <v>0.05</v>
      </c>
      <c r="CP72" s="17">
        <v>-9.6647683000282113E-3</v>
      </c>
      <c r="CQ72" s="17">
        <v>1.5646050813430044E-2</v>
      </c>
      <c r="CR72" s="17">
        <v>3.5667949259353751E-2</v>
      </c>
      <c r="CS72" s="16">
        <f t="shared" si="44"/>
        <v>9.1649231772755579E-2</v>
      </c>
      <c r="CT72" s="18"/>
      <c r="CU72" s="18"/>
      <c r="CV72" s="44"/>
    </row>
    <row r="73" spans="1:100" x14ac:dyDescent="0.45">
      <c r="A73" s="7"/>
      <c r="B73" s="57"/>
      <c r="C73" s="17"/>
      <c r="D73" s="17"/>
      <c r="E73" s="17"/>
      <c r="G73" s="18"/>
      <c r="H73" s="18"/>
      <c r="I73" s="52"/>
      <c r="J73" s="17"/>
      <c r="K73" s="28"/>
      <c r="CK73" s="29"/>
      <c r="CN73" s="7">
        <v>35</v>
      </c>
      <c r="CO73" s="49">
        <v>0.05</v>
      </c>
      <c r="CP73" s="17">
        <v>-9.5709645869913977E-3</v>
      </c>
      <c r="CQ73" s="17">
        <v>1.5630235340040211E-2</v>
      </c>
      <c r="CR73" s="17">
        <v>3.5909548962887283E-2</v>
      </c>
      <c r="CS73" s="16">
        <f t="shared" si="44"/>
        <v>9.1968819715936095E-2</v>
      </c>
      <c r="CT73" s="18"/>
      <c r="CU73" s="18"/>
      <c r="CV73" s="44"/>
    </row>
    <row r="74" spans="1:100" x14ac:dyDescent="0.45">
      <c r="A74" s="7"/>
      <c r="B74" s="57"/>
      <c r="C74" s="17"/>
      <c r="D74" s="17"/>
      <c r="E74" s="17"/>
      <c r="G74" s="18"/>
      <c r="H74" s="18"/>
      <c r="I74" s="52"/>
      <c r="J74" s="17"/>
      <c r="K74" s="28"/>
      <c r="CK74" s="29"/>
      <c r="CN74" s="7">
        <v>35.5</v>
      </c>
      <c r="CO74" s="49">
        <v>0.05</v>
      </c>
      <c r="CP74" s="17">
        <v>-9.478592038356777E-3</v>
      </c>
      <c r="CQ74" s="17">
        <v>1.5612046867478928E-2</v>
      </c>
      <c r="CR74" s="17">
        <v>3.614574622090589E-2</v>
      </c>
      <c r="CS74" s="16">
        <f t="shared" si="44"/>
        <v>9.2279201050028042E-2</v>
      </c>
      <c r="CT74" s="18"/>
      <c r="CU74" s="18"/>
      <c r="CV74" s="44"/>
    </row>
    <row r="75" spans="1:100" x14ac:dyDescent="0.45">
      <c r="A75" s="7"/>
      <c r="B75" s="57"/>
      <c r="C75" s="17"/>
      <c r="D75" s="17"/>
      <c r="E75" s="17"/>
      <c r="G75" s="18"/>
      <c r="H75" s="18"/>
      <c r="I75" s="52"/>
      <c r="J75" s="17"/>
      <c r="K75" s="28"/>
      <c r="CK75" s="29"/>
      <c r="CN75" s="7">
        <v>36</v>
      </c>
      <c r="CO75" s="49">
        <v>0.05</v>
      </c>
      <c r="CP75" s="17">
        <v>-9.3876241703818378E-3</v>
      </c>
      <c r="CQ75" s="17">
        <v>1.5591583006043547E-2</v>
      </c>
      <c r="CR75" s="17">
        <v>3.6376621265827878E-2</v>
      </c>
      <c r="CS75" s="16">
        <f t="shared" si="44"/>
        <v>9.258058010148959E-2</v>
      </c>
      <c r="CT75" s="18"/>
      <c r="CU75" s="18"/>
      <c r="CV75" s="44"/>
    </row>
    <row r="76" spans="1:100" x14ac:dyDescent="0.45">
      <c r="A76" s="7"/>
      <c r="B76" s="57"/>
      <c r="C76" s="17"/>
      <c r="D76" s="17"/>
      <c r="E76" s="17"/>
      <c r="G76" s="18"/>
      <c r="H76" s="18"/>
      <c r="I76" s="52"/>
      <c r="J76" s="17"/>
      <c r="K76" s="28"/>
      <c r="CK76" s="29"/>
      <c r="CN76" s="7">
        <v>36.5</v>
      </c>
      <c r="CO76" s="49">
        <v>0.05</v>
      </c>
      <c r="CP76" s="17">
        <v>-9.2980350431112607E-3</v>
      </c>
      <c r="CQ76" s="17">
        <v>1.5568938198267497E-2</v>
      </c>
      <c r="CR76" s="17">
        <v>3.6602253246493202E-2</v>
      </c>
      <c r="CS76" s="16">
        <f t="shared" si="44"/>
        <v>9.2873156401649448E-2</v>
      </c>
      <c r="CT76" s="18"/>
      <c r="CU76" s="18"/>
      <c r="CV76" s="44"/>
    </row>
    <row r="77" spans="1:100" x14ac:dyDescent="0.45">
      <c r="A77" s="7"/>
      <c r="B77" s="57"/>
      <c r="C77" s="17"/>
      <c r="D77" s="17"/>
      <c r="E77" s="17"/>
      <c r="G77" s="18"/>
      <c r="H77" s="18"/>
      <c r="I77" s="52"/>
      <c r="J77" s="17"/>
      <c r="K77" s="28"/>
      <c r="CK77" s="29"/>
      <c r="CN77" s="7">
        <v>37</v>
      </c>
      <c r="CO77" s="49">
        <v>0.05</v>
      </c>
      <c r="CP77" s="17">
        <v>-9.2097992484772191E-3</v>
      </c>
      <c r="CQ77" s="17">
        <v>1.5544203814494896E-2</v>
      </c>
      <c r="CR77" s="17">
        <v>3.6822720242260173E-2</v>
      </c>
      <c r="CS77" s="16">
        <f t="shared" si="44"/>
        <v>9.3157124808277855E-2</v>
      </c>
      <c r="CT77" s="18"/>
      <c r="CU77" s="18"/>
      <c r="CV77" s="44"/>
    </row>
    <row r="78" spans="1:100" x14ac:dyDescent="0.45">
      <c r="A78" s="7"/>
      <c r="B78" s="57"/>
      <c r="C78" s="17"/>
      <c r="D78" s="17"/>
      <c r="E78" s="17"/>
      <c r="G78" s="18"/>
      <c r="H78" s="18"/>
      <c r="I78" s="52"/>
      <c r="J78" s="17"/>
      <c r="K78" s="28"/>
      <c r="CK78" s="29"/>
      <c r="CN78" s="7">
        <v>37.5</v>
      </c>
      <c r="CO78" s="49">
        <v>0.05</v>
      </c>
      <c r="CP78" s="17">
        <v>-9.1228918986713467E-3</v>
      </c>
      <c r="CQ78" s="17">
        <v>1.5517468245662141E-2</v>
      </c>
      <c r="CR78" s="17">
        <v>3.7038099276922309E-2</v>
      </c>
      <c r="CS78" s="16">
        <f t="shared" si="44"/>
        <v>9.3432675623913108E-2</v>
      </c>
      <c r="CV78" s="18"/>
    </row>
    <row r="79" spans="1:100" x14ac:dyDescent="0.45">
      <c r="A79" s="7"/>
      <c r="B79" s="57"/>
      <c r="C79" s="17"/>
      <c r="D79" s="17"/>
      <c r="E79" s="17"/>
      <c r="G79" s="18"/>
      <c r="H79" s="18"/>
      <c r="I79" s="52"/>
      <c r="J79" s="17"/>
      <c r="K79" s="28"/>
      <c r="CK79" s="29"/>
      <c r="CN79" s="7">
        <v>38</v>
      </c>
      <c r="CO79" s="49">
        <v>0.05</v>
      </c>
      <c r="CP79" s="17">
        <v>-9.0372886147820249E-3</v>
      </c>
      <c r="CQ79" s="17">
        <v>1.548881699336674E-2</v>
      </c>
      <c r="CR79" s="17">
        <v>3.7248466332447244E-2</v>
      </c>
      <c r="CS79" s="16">
        <f t="shared" si="44"/>
        <v>9.3699994711031964E-2</v>
      </c>
      <c r="CV79" s="18"/>
    </row>
    <row r="80" spans="1:100" x14ac:dyDescent="0.45">
      <c r="A80" s="7"/>
      <c r="B80" s="57"/>
      <c r="C80" s="17"/>
      <c r="D80" s="17"/>
      <c r="E80" s="17"/>
      <c r="G80" s="18"/>
      <c r="H80" s="18"/>
      <c r="I80" s="52"/>
      <c r="J80" s="17"/>
      <c r="K80" s="28"/>
      <c r="CK80" s="29"/>
      <c r="CN80" s="7">
        <v>38.5</v>
      </c>
      <c r="CO80" s="49">
        <v>0.05</v>
      </c>
      <c r="CP80" s="17">
        <v>-8.9529655156907247E-3</v>
      </c>
      <c r="CQ80" s="17">
        <v>1.545833275730138E-2</v>
      </c>
      <c r="CR80" s="17">
        <v>3.7453896362540352E-2</v>
      </c>
      <c r="CS80" s="16">
        <f t="shared" si="44"/>
        <v>9.3959263604151008E-2</v>
      </c>
      <c r="CV80" s="18"/>
    </row>
    <row r="81" spans="1:100" x14ac:dyDescent="0.45">
      <c r="A81" s="7"/>
      <c r="B81" s="57"/>
      <c r="C81" s="17"/>
      <c r="D81" s="17"/>
      <c r="E81" s="17"/>
      <c r="G81" s="18"/>
      <c r="H81" s="18"/>
      <c r="I81" s="52"/>
      <c r="J81" s="17"/>
      <c r="K81" s="28"/>
      <c r="CK81" s="29"/>
      <c r="CN81" s="7">
        <v>39</v>
      </c>
      <c r="CO81" s="49">
        <v>0.05</v>
      </c>
      <c r="CP81" s="17">
        <v>-8.8698992072213326E-3</v>
      </c>
      <c r="CQ81" s="17">
        <v>1.5426095520129015E-2</v>
      </c>
      <c r="CR81" s="17">
        <v>3.7654463306034884E-2</v>
      </c>
      <c r="CS81" s="16">
        <f t="shared" si="44"/>
        <v>9.4210659618942566E-2</v>
      </c>
      <c r="CV81" s="18"/>
    </row>
    <row r="82" spans="1:100" x14ac:dyDescent="0.45">
      <c r="A82" s="7"/>
      <c r="B82" s="57"/>
      <c r="C82" s="17"/>
      <c r="D82" s="17"/>
      <c r="E82" s="17"/>
      <c r="G82" s="18"/>
      <c r="H82" s="18"/>
      <c r="I82" s="52"/>
      <c r="J82" s="17"/>
      <c r="K82" s="28"/>
      <c r="CK82" s="29"/>
      <c r="CN82" s="7">
        <v>39.5</v>
      </c>
      <c r="CO82" s="49">
        <v>0.05</v>
      </c>
      <c r="CP82" s="17">
        <v>-8.7880667715365124E-3</v>
      </c>
      <c r="CQ82" s="17">
        <v>1.5392182629872532E-2</v>
      </c>
      <c r="CR82" s="17">
        <v>3.7850240100110982E-2</v>
      </c>
      <c r="CS82" s="16">
        <f t="shared" si="44"/>
        <v>9.4454355958447006E-2</v>
      </c>
      <c r="CV82" s="18"/>
    </row>
    <row r="83" spans="1:100" x14ac:dyDescent="0.45">
      <c r="A83" s="7"/>
      <c r="B83" s="57"/>
      <c r="C83" s="17"/>
      <c r="D83" s="17"/>
      <c r="E83" s="17"/>
      <c r="G83" s="18"/>
      <c r="H83" s="18"/>
      <c r="I83" s="52"/>
      <c r="J83" s="17"/>
      <c r="K83" s="28"/>
      <c r="CK83" s="29"/>
      <c r="CN83" s="7">
        <v>40</v>
      </c>
      <c r="CO83" s="49">
        <v>0.05</v>
      </c>
      <c r="CP83" s="17">
        <v>-8.707445756775286E-3</v>
      </c>
      <c r="CQ83" s="17">
        <v>1.5356668879890555E-2</v>
      </c>
      <c r="CR83" s="17">
        <v>3.8041298693346222E-2</v>
      </c>
      <c r="CS83" s="16">
        <f t="shared" si="44"/>
        <v>9.4690521816461481E-2</v>
      </c>
      <c r="CV83" s="18"/>
    </row>
    <row r="84" spans="1:100" x14ac:dyDescent="0.45">
      <c r="A84" s="7"/>
      <c r="B84" s="57"/>
      <c r="C84" s="17"/>
      <c r="D84" s="17"/>
      <c r="E84" s="17"/>
      <c r="G84" s="18"/>
      <c r="H84" s="18"/>
      <c r="I84" s="52"/>
      <c r="J84" s="17"/>
      <c r="K84" s="28"/>
      <c r="CK84" s="29"/>
      <c r="CN84" s="7">
        <v>40.5</v>
      </c>
      <c r="CO84" s="49">
        <v>0.05</v>
      </c>
      <c r="CP84" s="17">
        <v>-8.6280141669262053E-3</v>
      </c>
      <c r="CQ84" s="17">
        <v>1.531962658650885E-2</v>
      </c>
      <c r="CR84" s="17">
        <v>3.8227710058598569E-2</v>
      </c>
      <c r="CS84" s="16">
        <f t="shared" si="44"/>
        <v>9.4919322478181217E-2</v>
      </c>
      <c r="CV84" s="18"/>
    </row>
    <row r="85" spans="1:100" x14ac:dyDescent="0.45">
      <c r="A85" s="7"/>
      <c r="B85" s="57"/>
      <c r="C85" s="17"/>
      <c r="D85" s="17"/>
      <c r="E85" s="17"/>
      <c r="G85" s="18"/>
      <c r="H85" s="18"/>
      <c r="I85" s="52"/>
      <c r="J85" s="17"/>
      <c r="K85" s="28"/>
      <c r="CK85" s="29"/>
      <c r="CN85" s="7">
        <v>41</v>
      </c>
      <c r="CO85" s="49">
        <v>0.05</v>
      </c>
      <c r="CP85" s="17">
        <v>-8.5497504519305642E-3</v>
      </c>
      <c r="CQ85" s="17">
        <v>1.5281125664374803E-2</v>
      </c>
      <c r="CR85" s="17">
        <v>3.8409544205725503E-2</v>
      </c>
      <c r="CS85" s="16">
        <f t="shared" si="44"/>
        <v>9.5140919418169739E-2</v>
      </c>
      <c r="CV85" s="18"/>
    </row>
    <row r="86" spans="1:100" x14ac:dyDescent="0.45">
      <c r="A86" s="7"/>
      <c r="B86" s="57"/>
      <c r="C86" s="17"/>
      <c r="D86" s="17"/>
      <c r="E86" s="17"/>
      <c r="G86" s="18"/>
      <c r="H86" s="18"/>
      <c r="I86" s="52"/>
      <c r="J86" s="17"/>
      <c r="K86" s="28"/>
      <c r="CK86" s="29"/>
      <c r="CN86" s="45">
        <v>41.5</v>
      </c>
      <c r="CO86" s="49">
        <v>0.05</v>
      </c>
      <c r="CP86" s="17">
        <v>-8.4726334980102565E-3</v>
      </c>
      <c r="CQ86" s="17">
        <v>1.5241233699600579E-2</v>
      </c>
      <c r="CR86" s="17">
        <v>3.8586870194139811E-2</v>
      </c>
      <c r="CS86" s="16">
        <f t="shared" si="44"/>
        <v>9.5355470395730141E-2</v>
      </c>
    </row>
    <row r="87" spans="1:100" x14ac:dyDescent="0.45">
      <c r="A87" s="7"/>
      <c r="B87" s="57"/>
      <c r="C87" s="17"/>
      <c r="D87" s="17"/>
      <c r="E87" s="17"/>
      <c r="G87" s="18"/>
      <c r="H87" s="18"/>
      <c r="I87" s="52"/>
      <c r="J87" s="17"/>
      <c r="K87" s="28"/>
      <c r="CK87" s="29"/>
      <c r="CN87" s="8">
        <v>42</v>
      </c>
      <c r="CO87" s="49">
        <v>0.05</v>
      </c>
      <c r="CP87" s="17">
        <v>-8.3966426182150548E-3</v>
      </c>
      <c r="CQ87" s="17">
        <v>1.520001602075864E-2</v>
      </c>
      <c r="CR87" s="17">
        <v>3.8759756145205354E-2</v>
      </c>
      <c r="CS87" s="16">
        <f t="shared" si="44"/>
        <v>9.556312954774894E-2</v>
      </c>
    </row>
    <row r="88" spans="1:100" x14ac:dyDescent="0.45">
      <c r="A88" s="7"/>
      <c r="B88" s="57"/>
      <c r="C88" s="17"/>
      <c r="D88" s="17"/>
      <c r="E88" s="17"/>
      <c r="G88" s="18"/>
      <c r="H88" s="18"/>
      <c r="I88" s="52"/>
      <c r="J88" s="17"/>
      <c r="K88" s="28"/>
      <c r="CK88" s="29"/>
      <c r="CN88" s="8">
        <v>42.5</v>
      </c>
      <c r="CO88" s="49">
        <v>0.05</v>
      </c>
      <c r="CP88" s="17">
        <v>-8.3217575431841113E-3</v>
      </c>
      <c r="CQ88" s="17">
        <v>1.5157535767791538E-2</v>
      </c>
      <c r="CR88" s="17">
        <v>3.8928269254474027E-2</v>
      </c>
      <c r="CS88" s="16">
        <f t="shared" si="44"/>
        <v>9.576404747908146E-2</v>
      </c>
    </row>
    <row r="89" spans="1:100" x14ac:dyDescent="0.45">
      <c r="A89" s="7"/>
      <c r="B89" s="57"/>
      <c r="C89" s="17"/>
      <c r="D89" s="17"/>
      <c r="E89" s="17"/>
      <c r="G89" s="18"/>
      <c r="H89" s="18"/>
      <c r="I89" s="52"/>
      <c r="J89" s="17"/>
      <c r="K89" s="28"/>
      <c r="CK89" s="29"/>
      <c r="CN89" s="8">
        <v>43</v>
      </c>
      <c r="CO89" s="49">
        <v>0.05</v>
      </c>
      <c r="CP89" s="17">
        <v>-8.2479584121167345E-3</v>
      </c>
      <c r="CQ89" s="17">
        <v>1.5113853958896079E-2</v>
      </c>
      <c r="CR89" s="17">
        <v>3.9092475803766319E-2</v>
      </c>
      <c r="CS89" s="16">
        <f t="shared" si="44"/>
        <v>9.5958371350545663E-2</v>
      </c>
    </row>
    <row r="90" spans="1:100" x14ac:dyDescent="0.45">
      <c r="A90" s="7"/>
      <c r="B90" s="57"/>
      <c r="C90" s="17"/>
      <c r="D90" s="17"/>
      <c r="E90" s="17"/>
      <c r="G90" s="18"/>
      <c r="H90" s="18"/>
      <c r="I90" s="52"/>
      <c r="J90" s="17"/>
      <c r="K90" s="28"/>
      <c r="CK90" s="29"/>
      <c r="CN90" s="8">
        <v>43.5</v>
      </c>
      <c r="CO90" s="49">
        <v>0.05</v>
      </c>
      <c r="CP90" s="17">
        <v>-8.1752257639474933E-3</v>
      </c>
      <c r="CQ90" s="17">
        <v>1.5069029555440277E-2</v>
      </c>
      <c r="CR90" s="17">
        <v>3.9252441173097348E-2</v>
      </c>
      <c r="CS90" s="16">
        <f t="shared" si="44"/>
        <v>9.6146244964590122E-2</v>
      </c>
    </row>
    <row r="91" spans="1:100" x14ac:dyDescent="0.45">
      <c r="A91" s="7"/>
      <c r="B91" s="57"/>
      <c r="C91" s="17"/>
      <c r="D91" s="17"/>
      <c r="E91" s="17"/>
      <c r="G91" s="18"/>
      <c r="H91" s="18"/>
      <c r="I91" s="52"/>
      <c r="J91" s="17"/>
      <c r="K91" s="28"/>
      <c r="CK91" s="29"/>
      <c r="CN91" s="8">
        <v>44</v>
      </c>
      <c r="CO91" s="49">
        <v>0.05</v>
      </c>
      <c r="CP91" s="17">
        <v>-8.1035405287209067E-3</v>
      </c>
      <c r="CQ91" s="17">
        <v>1.5023119524969854E-2</v>
      </c>
      <c r="CR91" s="17">
        <v>3.9408229852450176E-2</v>
      </c>
      <c r="CS91" s="16">
        <f t="shared" si="44"/>
        <v>9.6327808848699126E-2</v>
      </c>
    </row>
    <row r="92" spans="1:100" x14ac:dyDescent="0.45">
      <c r="A92" s="7"/>
      <c r="B92" s="57"/>
      <c r="C92" s="17"/>
      <c r="D92" s="17"/>
      <c r="E92" s="17"/>
      <c r="G92" s="18"/>
      <c r="H92" s="18"/>
      <c r="I92" s="52"/>
      <c r="J92" s="17"/>
      <c r="K92" s="28"/>
      <c r="CK92" s="29"/>
      <c r="CN92" s="8">
        <v>44.5</v>
      </c>
      <c r="CO92" s="49">
        <v>0.05</v>
      </c>
      <c r="CP92" s="17">
        <v>-8.0328840191610327E-3</v>
      </c>
      <c r="CQ92" s="17">
        <v>1.4976178902359428E-2</v>
      </c>
      <c r="CR92" s="17">
        <v>3.9559905453398755E-2</v>
      </c>
      <c r="CS92" s="16">
        <f t="shared" si="44"/>
        <v>9.650320033659715E-2</v>
      </c>
    </row>
    <row r="93" spans="1:100" x14ac:dyDescent="0.45">
      <c r="A93" s="7"/>
      <c r="B93" s="57"/>
      <c r="C93" s="17"/>
      <c r="D93" s="17"/>
      <c r="E93" s="17"/>
      <c r="G93" s="18"/>
      <c r="H93" s="18"/>
      <c r="I93" s="52"/>
      <c r="J93" s="17"/>
      <c r="K93" s="28"/>
      <c r="CK93" s="29"/>
      <c r="CN93" s="8">
        <v>45</v>
      </c>
      <c r="CO93" s="49">
        <v>0.05</v>
      </c>
      <c r="CP93" s="17">
        <v>-7.9632379224314452E-3</v>
      </c>
      <c r="CQ93" s="17">
        <v>1.4928260849161859E-2</v>
      </c>
      <c r="CR93" s="17">
        <v>3.9707530720581759E-2</v>
      </c>
      <c r="CS93" s="16">
        <f t="shared" si="44"/>
        <v>9.667255364731217E-2</v>
      </c>
    </row>
    <row r="94" spans="1:100" x14ac:dyDescent="0.45">
      <c r="A94" s="7"/>
      <c r="B94" s="57"/>
      <c r="C94" s="17"/>
      <c r="D94" s="17"/>
      <c r="E94" s="17"/>
      <c r="G94" s="18"/>
      <c r="H94" s="18"/>
      <c r="I94" s="52"/>
      <c r="J94" s="17"/>
      <c r="K94" s="28"/>
      <c r="CK94" s="29"/>
      <c r="CN94" s="8">
        <v>45.5</v>
      </c>
      <c r="CO94" s="49">
        <v>0.05</v>
      </c>
      <c r="CP94" s="17">
        <v>-7.8945842920811003E-3</v>
      </c>
      <c r="CQ94" s="17">
        <v>1.4879416711207905E-2</v>
      </c>
      <c r="CR94" s="17">
        <v>3.9851167543029996E-2</v>
      </c>
      <c r="CS94" s="16">
        <f t="shared" si="44"/>
        <v>9.6835999962156805E-2</v>
      </c>
    </row>
    <row r="95" spans="1:100" x14ac:dyDescent="0.45">
      <c r="A95" s="7"/>
      <c r="B95" s="57"/>
      <c r="C95" s="17"/>
      <c r="D95" s="17"/>
      <c r="E95" s="17"/>
      <c r="G95" s="18"/>
      <c r="H95" s="18"/>
      <c r="I95" s="52"/>
      <c r="J95" s="17"/>
      <c r="K95" s="28"/>
      <c r="CK95" s="29"/>
      <c r="CN95" s="8">
        <v>46</v>
      </c>
      <c r="CO95" s="49">
        <v>0.05</v>
      </c>
      <c r="CP95" s="17">
        <v>-7.8269055401718069E-3</v>
      </c>
      <c r="CQ95" s="17">
        <v>1.4829696074506623E-2</v>
      </c>
      <c r="CR95" s="17">
        <v>3.9990876965348386E-2</v>
      </c>
      <c r="CS95" s="16">
        <f t="shared" si="44"/>
        <v>9.6993667499683217E-2</v>
      </c>
    </row>
    <row r="96" spans="1:100" x14ac:dyDescent="0.45">
      <c r="A96" s="7"/>
      <c r="B96" s="57"/>
      <c r="C96" s="17"/>
      <c r="D96" s="17"/>
      <c r="E96" s="17"/>
      <c r="G96" s="18"/>
      <c r="H96" s="18"/>
      <c r="I96" s="52"/>
      <c r="J96" s="17"/>
      <c r="K96" s="28"/>
      <c r="CK96" s="29"/>
      <c r="CN96" s="8">
        <v>46.5</v>
      </c>
      <c r="CO96" s="49">
        <v>0.05</v>
      </c>
      <c r="CP96" s="17">
        <v>-7.7601844295830426E-3</v>
      </c>
      <c r="CQ96" s="17">
        <v>1.4779146819495659E-2</v>
      </c>
      <c r="CR96" s="17">
        <v>4.0126719198755115E-2</v>
      </c>
      <c r="CS96" s="16">
        <f t="shared" si="44"/>
        <v>9.7145681588667737E-2</v>
      </c>
    </row>
    <row r="97" spans="1:97" x14ac:dyDescent="0.45">
      <c r="A97" s="7"/>
      <c r="B97" s="57"/>
      <c r="C97" s="17"/>
      <c r="D97" s="17"/>
      <c r="E97" s="17"/>
      <c r="G97" s="18"/>
      <c r="H97" s="18"/>
      <c r="I97" s="52"/>
      <c r="J97" s="17"/>
      <c r="K97" s="28"/>
      <c r="CK97" s="29"/>
      <c r="CN97" s="8">
        <v>47</v>
      </c>
      <c r="CO97" s="49">
        <v>0.05</v>
      </c>
      <c r="CP97" s="17">
        <v>-7.6944040664899968E-3</v>
      </c>
      <c r="CQ97" s="17">
        <v>1.4727815173689101E-2</v>
      </c>
      <c r="CR97" s="17">
        <v>4.0258753631979172E-2</v>
      </c>
      <c r="CS97" s="16">
        <f t="shared" si="44"/>
        <v>9.7292164739178288E-2</v>
      </c>
    </row>
    <row r="98" spans="1:97" x14ac:dyDescent="0.45">
      <c r="A98" s="7"/>
      <c r="B98" s="57"/>
      <c r="C98" s="17"/>
      <c r="D98" s="17"/>
      <c r="E98" s="17"/>
      <c r="G98" s="18"/>
      <c r="H98" s="18"/>
      <c r="I98" s="52"/>
      <c r="J98" s="17"/>
      <c r="K98" s="28"/>
      <c r="CK98" s="29"/>
      <c r="CN98" s="8">
        <v>47.5</v>
      </c>
      <c r="CO98" s="49">
        <v>0.05</v>
      </c>
      <c r="CP98" s="17">
        <v>-7.6295478930107942E-3</v>
      </c>
      <c r="CQ98" s="17">
        <v>1.4675745762769279E-2</v>
      </c>
      <c r="CR98" s="17">
        <v>4.0387038842018531E-2</v>
      </c>
      <c r="CS98" s="16">
        <f t="shared" si="44"/>
        <v>9.7433236711777033E-2</v>
      </c>
    </row>
    <row r="99" spans="1:97" x14ac:dyDescent="0.45">
      <c r="A99" s="7"/>
      <c r="B99" s="57"/>
      <c r="C99" s="17"/>
      <c r="D99" s="17"/>
      <c r="E99" s="17"/>
      <c r="G99" s="18"/>
      <c r="H99" s="18"/>
      <c r="I99" s="52"/>
      <c r="J99" s="17"/>
      <c r="K99" s="28"/>
      <c r="CK99" s="29"/>
      <c r="CN99" s="8">
        <v>48</v>
      </c>
      <c r="CO99" s="49">
        <v>0.05</v>
      </c>
      <c r="CP99" s="17">
        <v>-7.5655996800189935E-3</v>
      </c>
      <c r="CQ99" s="17">
        <v>1.4622981660167447E-2</v>
      </c>
      <c r="CR99" s="17">
        <v>4.0511632604760386E-2</v>
      </c>
      <c r="CS99" s="16">
        <f t="shared" si="44"/>
        <v>9.7569014584908853E-2</v>
      </c>
    </row>
    <row r="100" spans="1:97" x14ac:dyDescent="0.45">
      <c r="A100" s="7"/>
      <c r="B100" s="57"/>
      <c r="C100" s="17"/>
      <c r="D100" s="17"/>
      <c r="E100" s="17"/>
      <c r="G100" s="18"/>
      <c r="H100" s="18"/>
      <c r="I100" s="52"/>
      <c r="J100" s="17"/>
      <c r="K100" s="28"/>
      <c r="CK100" s="29"/>
      <c r="CN100" s="8">
        <v>48.5</v>
      </c>
      <c r="CO100" s="49">
        <v>0.05</v>
      </c>
      <c r="CP100" s="17">
        <v>-7.5025435201174686E-3</v>
      </c>
      <c r="CQ100" s="17">
        <v>1.4569564435177103E-2</v>
      </c>
      <c r="CR100" s="17">
        <v>4.0632591905465504E-2</v>
      </c>
      <c r="CS100" s="16">
        <f t="shared" si="44"/>
        <v>9.7699612820525139E-2</v>
      </c>
    </row>
    <row r="101" spans="1:97" x14ac:dyDescent="0.45">
      <c r="A101" s="7"/>
      <c r="B101" s="57"/>
      <c r="C101" s="17"/>
      <c r="D101" s="17"/>
      <c r="E101" s="17"/>
      <c r="G101" s="18"/>
      <c r="H101" s="18"/>
      <c r="I101" s="52"/>
      <c r="J101" s="17"/>
      <c r="K101" s="28"/>
      <c r="CK101" s="29"/>
      <c r="CN101" s="8">
        <v>49</v>
      </c>
      <c r="CO101" s="49">
        <v>0.05</v>
      </c>
      <c r="CP101" s="17">
        <v>-7.4403638207699791E-3</v>
      </c>
      <c r="CQ101" s="17">
        <v>1.4515534199642468E-2</v>
      </c>
      <c r="CR101" s="17">
        <v>4.074997294911796E-2</v>
      </c>
      <c r="CS101" s="16">
        <f t="shared" si="44"/>
        <v>9.7825143327990444E-2</v>
      </c>
    </row>
    <row r="102" spans="1:97" x14ac:dyDescent="0.45">
      <c r="A102" s="7"/>
      <c r="B102" s="57"/>
      <c r="C102" s="17"/>
      <c r="D102" s="17"/>
      <c r="E102" s="17"/>
      <c r="G102" s="18"/>
      <c r="H102" s="18"/>
      <c r="I102" s="52"/>
      <c r="J102" s="17"/>
      <c r="K102" s="28"/>
      <c r="CK102" s="29"/>
      <c r="CN102" s="8">
        <v>49.5</v>
      </c>
      <c r="CO102" s="49">
        <v>0.05</v>
      </c>
      <c r="CP102" s="17">
        <v>-7.3790452975867234E-3</v>
      </c>
      <c r="CQ102" s="17">
        <v>1.4460929653263293E-2</v>
      </c>
      <c r="CR102" s="17">
        <v>4.086383117064258E-2</v>
      </c>
      <c r="CS102" s="16">
        <f t="shared" si="44"/>
        <v>9.7945715526319158E-2</v>
      </c>
    </row>
    <row r="103" spans="1:97" x14ac:dyDescent="0.45">
      <c r="A103" s="7"/>
      <c r="B103" s="57"/>
      <c r="C103" s="17"/>
      <c r="D103" s="17"/>
      <c r="E103" s="17"/>
      <c r="G103" s="18"/>
      <c r="H103" s="18"/>
      <c r="I103" s="52"/>
      <c r="J103" s="17"/>
      <c r="K103" s="28"/>
      <c r="CK103" s="29"/>
      <c r="CN103" s="8">
        <v>50</v>
      </c>
      <c r="CO103" s="49">
        <v>0.05</v>
      </c>
      <c r="CP103" s="17">
        <v>-7.3185729677603291E-3</v>
      </c>
      <c r="CQ103" s="17">
        <v>1.4405788127556138E-2</v>
      </c>
      <c r="CR103" s="17">
        <v>4.0974221244991185E-2</v>
      </c>
      <c r="CS103" s="16">
        <f t="shared" si="44"/>
        <v>9.8061436404786997E-2</v>
      </c>
    </row>
    <row r="104" spans="1:97" x14ac:dyDescent="0.45">
      <c r="A104" s="7"/>
      <c r="B104" s="57"/>
      <c r="C104" s="17"/>
      <c r="D104" s="17"/>
      <c r="E104" s="17"/>
      <c r="G104" s="18"/>
      <c r="H104" s="18"/>
      <c r="I104" s="52"/>
      <c r="J104" s="17"/>
      <c r="K104" s="28"/>
      <c r="CK104" s="29"/>
      <c r="CN104" s="8">
        <v>50.5</v>
      </c>
      <c r="CO104" s="49">
        <v>0.05</v>
      </c>
      <c r="CP104" s="17">
        <v>-7.2589321436487744E-3</v>
      </c>
      <c r="CQ104" s="17">
        <v>1.4350145628511069E-2</v>
      </c>
      <c r="CR104" s="17">
        <v>4.1081197097099668E-2</v>
      </c>
      <c r="CS104" s="16">
        <f t="shared" si="44"/>
        <v>9.8172410581961966E-2</v>
      </c>
    </row>
    <row r="105" spans="1:97" x14ac:dyDescent="0.45">
      <c r="A105" s="7"/>
      <c r="B105" s="57"/>
      <c r="C105" s="17"/>
      <c r="D105" s="17"/>
      <c r="E105" s="17"/>
      <c r="G105" s="18"/>
      <c r="H105" s="18"/>
      <c r="I105" s="52"/>
      <c r="J105" s="17"/>
      <c r="K105" s="28"/>
      <c r="CK105" s="29"/>
      <c r="CN105" s="8">
        <v>51</v>
      </c>
      <c r="CO105" s="49">
        <v>0.05</v>
      </c>
      <c r="CP105" s="17">
        <v>-7.2001084265018445E-3</v>
      </c>
      <c r="CQ105" s="17">
        <v>1.4294036877981517E-2</v>
      </c>
      <c r="CR105" s="17">
        <v>4.1184811911717335E-2</v>
      </c>
      <c r="CS105" s="16">
        <f t="shared" si="44"/>
        <v>9.8278740363197004E-2</v>
      </c>
    </row>
    <row r="106" spans="1:97" x14ac:dyDescent="0.45">
      <c r="A106" s="7"/>
      <c r="B106" s="57"/>
      <c r="C106" s="17"/>
      <c r="D106" s="17"/>
      <c r="E106" s="17"/>
      <c r="G106" s="18"/>
      <c r="H106" s="18"/>
      <c r="I106" s="52"/>
      <c r="J106" s="17"/>
      <c r="K106" s="28"/>
      <c r="CK106" s="29"/>
      <c r="CN106" s="8">
        <v>51.5</v>
      </c>
      <c r="CO106" s="49">
        <v>0.05</v>
      </c>
      <c r="CP106" s="17">
        <v>-7.1420877003277958E-3</v>
      </c>
      <c r="CQ106" s="17">
        <v>1.4237495353844104E-2</v>
      </c>
      <c r="CR106" s="17">
        <v>4.1285118143110325E-2</v>
      </c>
      <c r="CS106" s="16">
        <f t="shared" si="44"/>
        <v>9.8380525796626636E-2</v>
      </c>
    </row>
    <row r="107" spans="1:97" x14ac:dyDescent="0.45">
      <c r="A107" s="7"/>
      <c r="B107" s="57"/>
      <c r="C107" s="17"/>
      <c r="D107" s="17"/>
      <c r="E107" s="17"/>
      <c r="G107" s="18"/>
      <c r="H107" s="18"/>
      <c r="I107" s="52"/>
      <c r="J107" s="17"/>
      <c r="K107" s="28"/>
      <c r="CK107" s="29"/>
      <c r="CN107" s="8">
        <v>52</v>
      </c>
      <c r="CO107" s="49">
        <v>0.05</v>
      </c>
      <c r="CP107" s="17">
        <v>-7.0848561258969791E-3</v>
      </c>
      <c r="CQ107" s="17">
        <v>1.4180553328964129E-2</v>
      </c>
      <c r="CR107" s="17">
        <v>4.1382167524640481E-2</v>
      </c>
      <c r="CS107" s="16">
        <f t="shared" si="44"/>
        <v>9.8477864727707629E-2</v>
      </c>
    </row>
    <row r="108" spans="1:97" x14ac:dyDescent="0.45">
      <c r="A108" s="7"/>
      <c r="B108" s="57"/>
      <c r="C108" s="17"/>
      <c r="D108" s="17"/>
      <c r="E108" s="17"/>
      <c r="G108" s="18"/>
      <c r="H108" s="18"/>
      <c r="I108" s="52"/>
      <c r="J108" s="17"/>
      <c r="K108" s="28"/>
      <c r="CK108" s="29"/>
      <c r="CN108" s="8">
        <v>52.5</v>
      </c>
      <c r="CO108" s="49">
        <v>0.05</v>
      </c>
      <c r="CP108" s="17">
        <v>-7.0284001348792577E-3</v>
      </c>
      <c r="CQ108" s="17">
        <v>1.4123241909001296E-2</v>
      </c>
      <c r="CR108" s="17">
        <v>4.1476011078221367E-2</v>
      </c>
      <c r="CS108" s="16">
        <f t="shared" si="44"/>
        <v>9.8570852852343405E-2</v>
      </c>
    </row>
    <row r="109" spans="1:97" x14ac:dyDescent="0.45">
      <c r="A109" s="7"/>
      <c r="B109" s="57"/>
      <c r="C109" s="17"/>
      <c r="D109" s="17"/>
      <c r="E109" s="17"/>
      <c r="G109" s="18"/>
      <c r="H109" s="18"/>
      <c r="I109" s="52"/>
      <c r="J109" s="17"/>
      <c r="K109" s="28"/>
      <c r="CK109" s="29"/>
      <c r="CN109" s="8">
        <v>53</v>
      </c>
      <c r="CO109" s="49">
        <v>0.05</v>
      </c>
      <c r="CP109" s="17">
        <v>-6.9727064241121225E-3</v>
      </c>
      <c r="CQ109" s="17">
        <v>1.4065591069089488E-2</v>
      </c>
      <c r="CR109" s="17">
        <v>4.1566699123653031E-2</v>
      </c>
      <c r="CS109" s="16">
        <f t="shared" si="44"/>
        <v>9.8659583768630404E-2</v>
      </c>
    </row>
    <row r="110" spans="1:97" x14ac:dyDescent="0.45">
      <c r="A110" s="7"/>
      <c r="B110" s="57"/>
      <c r="C110" s="17"/>
      <c r="D110" s="17"/>
      <c r="E110" s="17"/>
      <c r="G110" s="18"/>
      <c r="H110" s="18"/>
      <c r="I110" s="52"/>
      <c r="J110" s="17"/>
      <c r="K110" s="28"/>
      <c r="CK110" s="29"/>
      <c r="CN110" s="8">
        <v>53.5</v>
      </c>
      <c r="CO110" s="49">
        <v>0.05</v>
      </c>
      <c r="CP110" s="17">
        <v>-6.9177619499964874E-3</v>
      </c>
      <c r="CQ110" s="17">
        <v>1.400762968942313E-2</v>
      </c>
      <c r="CR110" s="17">
        <v>4.1654281287836992E-2</v>
      </c>
      <c r="CS110" s="16">
        <f t="shared" si="44"/>
        <v>9.8744149027263639E-2</v>
      </c>
    </row>
    <row r="111" spans="1:97" x14ac:dyDescent="0.45">
      <c r="A111" s="7"/>
      <c r="B111" s="57"/>
      <c r="C111" s="17"/>
      <c r="D111" s="17"/>
      <c r="E111" s="17"/>
      <c r="G111" s="18"/>
      <c r="H111" s="18"/>
      <c r="I111" s="52"/>
      <c r="J111" s="17"/>
      <c r="K111" s="28"/>
      <c r="CK111" s="29"/>
      <c r="CN111" s="8">
        <v>54</v>
      </c>
      <c r="CO111" s="49">
        <v>0.05</v>
      </c>
      <c r="CP111" s="17">
        <v>-6.8635539230172144E-3</v>
      </c>
      <c r="CQ111" s="17">
        <v>1.3949385589782112E-2</v>
      </c>
      <c r="CR111" s="17">
        <v>4.1738806513872941E-2</v>
      </c>
      <c r="CS111" s="16">
        <f t="shared" si="44"/>
        <v>9.8824638180637844E-2</v>
      </c>
    </row>
    <row r="112" spans="1:97" x14ac:dyDescent="0.45">
      <c r="A112" s="7"/>
      <c r="B112" s="57"/>
      <c r="C112" s="17"/>
      <c r="D112" s="17"/>
      <c r="E112" s="17"/>
      <c r="G112" s="18"/>
      <c r="H112" s="18"/>
      <c r="I112" s="52"/>
      <c r="J112" s="17"/>
      <c r="K112" s="28"/>
      <c r="CK112" s="29"/>
      <c r="CN112" s="8">
        <v>54.5</v>
      </c>
      <c r="CO112" s="49">
        <v>0.05</v>
      </c>
      <c r="CP112" s="17">
        <v>-6.8100698023854898E-3</v>
      </c>
      <c r="CQ112" s="17">
        <v>1.3890885563025913E-2</v>
      </c>
      <c r="CR112" s="17">
        <v>4.1820323070038704E-2</v>
      </c>
      <c r="CS112" s="16">
        <f t="shared" si="44"/>
        <v>9.8901138830679122E-2</v>
      </c>
    </row>
    <row r="113" spans="1:97" x14ac:dyDescent="0.45">
      <c r="A113" s="7"/>
      <c r="B113" s="57"/>
      <c r="C113" s="17"/>
      <c r="D113" s="17"/>
      <c r="E113" s="17"/>
      <c r="G113" s="18"/>
      <c r="H113" s="18"/>
      <c r="I113" s="52"/>
      <c r="J113" s="17"/>
      <c r="K113" s="28"/>
      <c r="CK113" s="29"/>
      <c r="CN113" s="8">
        <v>55</v>
      </c>
      <c r="CO113" s="49">
        <v>0.05</v>
      </c>
      <c r="CP113" s="17">
        <v>-6.7572972908002456E-3</v>
      </c>
      <c r="CQ113" s="17">
        <v>1.383215540758709E-2</v>
      </c>
      <c r="CR113" s="17">
        <v>4.1898878558654887E-2</v>
      </c>
      <c r="CS113" s="16">
        <f t="shared" si="44"/>
        <v>9.8973736675441737E-2</v>
      </c>
    </row>
    <row r="114" spans="1:97" x14ac:dyDescent="0.45">
      <c r="A114" s="7"/>
      <c r="B114" s="57"/>
      <c r="C114" s="17"/>
      <c r="D114" s="17"/>
      <c r="E114" s="17"/>
      <c r="G114" s="18"/>
      <c r="H114" s="18"/>
      <c r="I114" s="52"/>
      <c r="J114" s="17"/>
      <c r="K114" s="28"/>
      <c r="CK114" s="29"/>
      <c r="CN114" s="8">
        <v>55.5</v>
      </c>
      <c r="CO114" s="49">
        <v>0.05</v>
      </c>
      <c r="CP114" s="17">
        <v>-6.7052243293258748E-3</v>
      </c>
      <c r="CQ114" s="17">
        <v>1.3773219958993138E-2</v>
      </c>
      <c r="CR114" s="17">
        <v>4.1974519924835807E-2</v>
      </c>
      <c r="CS114" s="16">
        <f t="shared" si="44"/>
        <v>9.904251555450308E-2</v>
      </c>
    </row>
    <row r="115" spans="1:97" x14ac:dyDescent="0.45">
      <c r="A115" s="7"/>
      <c r="B115" s="57"/>
      <c r="C115" s="17"/>
      <c r="D115" s="17"/>
      <c r="E115" s="17"/>
      <c r="G115" s="18"/>
      <c r="H115" s="18"/>
      <c r="I115" s="52"/>
      <c r="J115" s="17"/>
      <c r="K115" s="28"/>
      <c r="CK115" s="29"/>
      <c r="CN115" s="8">
        <v>56</v>
      </c>
      <c r="CO115" s="49">
        <v>0.05</v>
      </c>
      <c r="CP115" s="17">
        <v>-6.6538390923835686E-3</v>
      </c>
      <c r="CQ115" s="17">
        <v>1.3714103120445041E-2</v>
      </c>
      <c r="CR115" s="17">
        <v>4.2047293465128067E-2</v>
      </c>
      <c r="CS115" s="16">
        <f t="shared" si="44"/>
        <v>9.9107557493189544E-2</v>
      </c>
    </row>
    <row r="116" spans="1:97" x14ac:dyDescent="0.45">
      <c r="A116" s="7"/>
      <c r="B116" s="57"/>
      <c r="C116" s="17"/>
      <c r="D116" s="17"/>
      <c r="E116" s="17"/>
      <c r="G116" s="18"/>
      <c r="H116" s="18"/>
      <c r="I116" s="52"/>
      <c r="J116" s="17"/>
      <c r="K116" s="28"/>
      <c r="CK116" s="29"/>
      <c r="CN116" s="8">
        <v>56.5</v>
      </c>
      <c r="CO116" s="49">
        <v>0.05</v>
      </c>
      <c r="CP116" s="17">
        <v>-6.6031299828536553E-3</v>
      </c>
      <c r="CQ116" s="17">
        <v>1.3654827892480008E-2</v>
      </c>
      <c r="CR116" s="17">
        <v>4.2117244836037938E-2</v>
      </c>
      <c r="CS116" s="16">
        <f t="shared" si="44"/>
        <v>9.916894274566429E-2</v>
      </c>
    </row>
    <row r="117" spans="1:97" x14ac:dyDescent="0.45">
      <c r="A117" s="7"/>
      <c r="B117" s="57"/>
      <c r="C117" s="17"/>
      <c r="D117" s="17"/>
      <c r="E117" s="17"/>
      <c r="G117" s="18"/>
      <c r="H117" s="18"/>
      <c r="I117" s="52"/>
      <c r="J117" s="17"/>
      <c r="K117" s="28"/>
      <c r="CK117" s="29"/>
      <c r="CN117" s="8">
        <v>57</v>
      </c>
      <c r="CO117" s="49">
        <v>0.05</v>
      </c>
      <c r="CP117" s="17">
        <v>-6.553085627286394E-3</v>
      </c>
      <c r="CQ117" s="17">
        <v>1.3595416401744997E-2</v>
      </c>
      <c r="CR117" s="17">
        <v>4.2184419062449512E-2</v>
      </c>
      <c r="CS117" s="16">
        <f t="shared" si="44"/>
        <v>9.9226749836908115E-2</v>
      </c>
    </row>
    <row r="118" spans="1:97" x14ac:dyDescent="0.45">
      <c r="A118" s="7"/>
      <c r="B118" s="57"/>
      <c r="C118" s="17"/>
      <c r="D118" s="17"/>
      <c r="E118" s="17"/>
      <c r="G118" s="18"/>
      <c r="H118" s="18"/>
      <c r="I118" s="52"/>
      <c r="J118" s="17"/>
      <c r="K118" s="28"/>
      <c r="CK118" s="29"/>
      <c r="CN118" s="8">
        <v>57.5</v>
      </c>
      <c r="CO118" s="49">
        <v>0.05</v>
      </c>
      <c r="CP118" s="17">
        <v>-6.5036948712187161E-3</v>
      </c>
      <c r="CQ118" s="17">
        <v>1.353588992890704E-2</v>
      </c>
      <c r="CR118" s="17">
        <v>4.2248860545934581E-2</v>
      </c>
      <c r="CS118" s="16">
        <f t="shared" si="44"/>
        <v>9.9281055603622909E-2</v>
      </c>
    </row>
    <row r="119" spans="1:97" x14ac:dyDescent="0.45">
      <c r="A119" s="7"/>
      <c r="B119" s="57"/>
      <c r="C119" s="17"/>
      <c r="D119" s="17"/>
      <c r="E119" s="17"/>
      <c r="G119" s="18"/>
      <c r="H119" s="18"/>
      <c r="I119" s="52"/>
      <c r="J119" s="17"/>
      <c r="K119" s="28"/>
      <c r="CK119" s="29"/>
      <c r="CN119" s="8">
        <v>58</v>
      </c>
      <c r="CO119" s="49">
        <v>0.05</v>
      </c>
      <c r="CP119" s="17">
        <v>-6.4549467745945036E-3</v>
      </c>
      <c r="CQ119" s="17">
        <v>1.3476268935725476E-2</v>
      </c>
      <c r="CR119" s="17">
        <v>4.2310613072955715E-2</v>
      </c>
      <c r="CS119" s="16">
        <f t="shared" si="44"/>
        <v>9.9331935234086691E-2</v>
      </c>
    </row>
    <row r="120" spans="1:97" x14ac:dyDescent="0.45">
      <c r="A120" s="7"/>
      <c r="B120" s="57"/>
      <c r="C120" s="17"/>
      <c r="D120" s="17"/>
      <c r="E120" s="17"/>
      <c r="G120" s="18"/>
      <c r="H120" s="18"/>
      <c r="I120" s="52"/>
      <c r="J120" s="17"/>
      <c r="K120" s="28"/>
      <c r="CK120" s="29"/>
      <c r="CN120" s="8">
        <v>58.5</v>
      </c>
      <c r="CO120" s="49">
        <v>0.05</v>
      </c>
      <c r="CP120" s="17">
        <v>-6.4068306072859963E-3</v>
      </c>
      <c r="CQ120" s="17">
        <v>1.3416573091310578E-2</v>
      </c>
      <c r="CR120" s="17">
        <v>4.2369719822963871E-2</v>
      </c>
      <c r="CS120" s="16">
        <f t="shared" si="44"/>
        <v>9.9379462306988464E-2</v>
      </c>
    </row>
    <row r="121" spans="1:97" x14ac:dyDescent="0.45">
      <c r="A121" s="7"/>
      <c r="B121" s="57"/>
      <c r="C121" s="17"/>
      <c r="D121" s="17"/>
      <c r="E121" s="17"/>
      <c r="G121" s="18"/>
      <c r="H121" s="18"/>
      <c r="I121" s="52"/>
      <c r="J121" s="17"/>
      <c r="K121" s="28"/>
      <c r="CK121" s="29"/>
      <c r="CN121" s="8">
        <v>59</v>
      </c>
      <c r="CO121" s="49">
        <v>0.05</v>
      </c>
      <c r="CP121" s="17">
        <v>-6.3593358447140433E-3</v>
      </c>
      <c r="CQ121" s="17">
        <v>1.3356821297592303E-2</v>
      </c>
      <c r="CR121" s="17">
        <v>4.2426223376392153E-2</v>
      </c>
      <c r="CS121" s="16">
        <f t="shared" si="44"/>
        <v>9.9423708829270416E-2</v>
      </c>
    </row>
    <row r="122" spans="1:97" x14ac:dyDescent="0.45">
      <c r="A122" s="7"/>
      <c r="B122" s="57"/>
      <c r="C122" s="17"/>
      <c r="D122" s="17"/>
      <c r="E122" s="17"/>
      <c r="G122" s="18"/>
      <c r="H122" s="18"/>
      <c r="I122" s="52"/>
      <c r="J122" s="17"/>
      <c r="K122" s="28"/>
      <c r="CK122" s="29"/>
      <c r="CN122" s="8">
        <v>59.5</v>
      </c>
      <c r="CO122" s="49">
        <v>0.05</v>
      </c>
      <c r="CP122" s="17">
        <v>-6.3124521635648991E-3</v>
      </c>
      <c r="CQ122" s="17">
        <v>1.3297031714022229E-2</v>
      </c>
      <c r="CR122" s="17">
        <v>4.2480165722546454E-2</v>
      </c>
      <c r="CS122" s="16">
        <f t="shared" si="44"/>
        <v>9.946474527300378E-2</v>
      </c>
    </row>
    <row r="123" spans="1:97" x14ac:dyDescent="0.45">
      <c r="A123" s="7"/>
      <c r="B123" s="57"/>
      <c r="C123" s="17"/>
      <c r="D123" s="17"/>
      <c r="E123" s="17"/>
      <c r="G123" s="18"/>
      <c r="H123" s="18"/>
      <c r="I123" s="52"/>
      <c r="J123" s="17"/>
      <c r="K123" s="28"/>
      <c r="CK123" s="29"/>
      <c r="CN123" s="8">
        <v>60</v>
      </c>
      <c r="CO123" s="49">
        <v>0.05</v>
      </c>
      <c r="CP123" s="17">
        <v>-6.2661694376013738E-3</v>
      </c>
      <c r="CQ123" s="17">
        <v>1.3237221781531097E-2</v>
      </c>
      <c r="CR123" s="17">
        <v>4.2531588267394969E-2</v>
      </c>
      <c r="CS123" s="16">
        <f t="shared" si="44"/>
        <v>9.9502640611324689E-2</v>
      </c>
    </row>
    <row r="124" spans="1:97" x14ac:dyDescent="0.45">
      <c r="A124" s="7"/>
      <c r="B124" s="57"/>
      <c r="C124" s="17"/>
      <c r="D124" s="17"/>
      <c r="E124" s="17"/>
      <c r="G124" s="18"/>
      <c r="H124" s="18"/>
      <c r="I124" s="52"/>
      <c r="J124" s="17"/>
      <c r="K124" s="28"/>
      <c r="CK124" s="29"/>
      <c r="CN124" s="8">
        <v>60.5</v>
      </c>
      <c r="CO124" s="49">
        <v>0.05</v>
      </c>
      <c r="CP124" s="17">
        <v>-6.2204777335661656E-3</v>
      </c>
      <c r="CQ124" s="17">
        <v>1.3177408245763703E-2</v>
      </c>
      <c r="CR124" s="17">
        <v>4.2580531841257319E-2</v>
      </c>
      <c r="CS124" s="16">
        <f t="shared" si="44"/>
        <v>9.9537462353454856E-2</v>
      </c>
    </row>
    <row r="125" spans="1:97" x14ac:dyDescent="0.45">
      <c r="A125" s="7"/>
      <c r="B125" s="57"/>
      <c r="C125" s="17"/>
      <c r="D125" s="17"/>
      <c r="E125" s="17"/>
      <c r="G125" s="18"/>
      <c r="H125" s="18"/>
      <c r="I125" s="52"/>
      <c r="J125" s="17"/>
      <c r="K125" s="28"/>
      <c r="CK125" s="29"/>
      <c r="CN125" s="8">
        <v>61</v>
      </c>
      <c r="CO125" s="49">
        <v>0.05</v>
      </c>
      <c r="CP125" s="17">
        <v>-6.1753673071752785E-3</v>
      </c>
      <c r="CQ125" s="17">
        <v>1.3117607179612288E-2</v>
      </c>
      <c r="CR125" s="17">
        <v>4.2627036706394811E-2</v>
      </c>
      <c r="CS125" s="16">
        <f t="shared" si="44"/>
        <v>9.9569276578831828E-2</v>
      </c>
    </row>
    <row r="126" spans="1:97" x14ac:dyDescent="0.45">
      <c r="A126" s="7"/>
      <c r="B126" s="57"/>
      <c r="C126" s="17"/>
      <c r="D126" s="17"/>
      <c r="E126" s="17"/>
      <c r="G126" s="18"/>
      <c r="H126" s="18"/>
      <c r="I126" s="52"/>
      <c r="J126" s="17"/>
      <c r="K126" s="28"/>
      <c r="CK126" s="29"/>
      <c r="CN126" s="8">
        <v>61.5</v>
      </c>
      <c r="CO126" s="49">
        <v>0.05</v>
      </c>
      <c r="CP126" s="17">
        <v>-6.1308285991994527E-3</v>
      </c>
      <c r="CQ126" s="17">
        <v>1.305783400506893E-2</v>
      </c>
      <c r="CR126" s="17">
        <v>4.2671142564503182E-2</v>
      </c>
      <c r="CS126" s="16">
        <f t="shared" si="44"/>
        <v>9.9598147970372669E-2</v>
      </c>
    </row>
    <row r="127" spans="1:97" x14ac:dyDescent="0.45">
      <c r="A127" s="7"/>
      <c r="B127" s="57"/>
      <c r="C127" s="17"/>
      <c r="D127" s="17"/>
      <c r="E127" s="17"/>
      <c r="G127" s="18"/>
      <c r="H127" s="18"/>
      <c r="I127" s="52"/>
      <c r="J127" s="17"/>
      <c r="K127" s="28"/>
      <c r="CK127" s="29"/>
      <c r="CN127" s="8">
        <v>62</v>
      </c>
      <c r="CO127" s="49">
        <v>0.05</v>
      </c>
      <c r="CP127" s="17">
        <v>-6.0868522316315926E-3</v>
      </c>
      <c r="CQ127" s="17">
        <v>1.2998103514416895E-2</v>
      </c>
      <c r="CR127" s="17">
        <v>4.2712888564108806E-2</v>
      </c>
      <c r="CS127" s="16">
        <f t="shared" si="44"/>
        <v>9.9624139846894111E-2</v>
      </c>
    </row>
    <row r="128" spans="1:97" x14ac:dyDescent="0.45">
      <c r="A128" s="7"/>
      <c r="B128" s="57"/>
      <c r="C128" s="17"/>
      <c r="D128" s="17"/>
      <c r="E128" s="17"/>
      <c r="G128" s="18"/>
      <c r="H128" s="18"/>
      <c r="I128" s="52"/>
      <c r="J128" s="17"/>
      <c r="K128" s="28"/>
      <c r="CK128" s="29"/>
      <c r="CN128" s="8">
        <v>62.5</v>
      </c>
      <c r="CO128" s="49">
        <v>0.05</v>
      </c>
      <c r="CP128" s="17">
        <v>-6.0434290039382572E-3</v>
      </c>
      <c r="CQ128" s="17">
        <v>1.2938429890780282E-2</v>
      </c>
      <c r="CR128" s="17">
        <v>4.2752313307869681E-2</v>
      </c>
      <c r="CS128" s="16">
        <f t="shared" si="44"/>
        <v>9.9647314194711706E-2</v>
      </c>
    </row>
    <row r="129" spans="1:97" x14ac:dyDescent="0.45">
      <c r="A129" s="7"/>
      <c r="B129" s="57"/>
      <c r="C129" s="17"/>
      <c r="D129" s="17"/>
      <c r="E129" s="17"/>
      <c r="G129" s="18"/>
      <c r="H129" s="18"/>
      <c r="I129" s="52"/>
      <c r="J129" s="17"/>
      <c r="K129" s="28"/>
      <c r="CK129" s="29"/>
      <c r="CN129" s="8">
        <v>63</v>
      </c>
      <c r="CO129" s="49">
        <v>0.05</v>
      </c>
      <c r="CP129" s="17">
        <v>-6.0005498893932517E-3</v>
      </c>
      <c r="CQ129" s="17">
        <v>1.2878826728050819E-2</v>
      </c>
      <c r="CR129" s="17">
        <v>4.2789454859782569E-2</v>
      </c>
      <c r="CS129" s="16">
        <f t="shared" si="44"/>
        <v>9.9667731698440135E-2</v>
      </c>
    </row>
    <row r="130" spans="1:97" x14ac:dyDescent="0.45">
      <c r="A130" s="7"/>
      <c r="B130" s="57"/>
      <c r="C130" s="17"/>
      <c r="D130" s="17"/>
      <c r="E130" s="17"/>
      <c r="G130" s="18"/>
      <c r="H130" s="18"/>
      <c r="I130" s="52"/>
      <c r="J130" s="17"/>
      <c r="K130" s="28"/>
      <c r="CK130" s="29"/>
      <c r="CN130" s="8">
        <v>63.5</v>
      </c>
      <c r="CO130" s="49">
        <v>0.05</v>
      </c>
      <c r="CP130" s="17">
        <v>-5.9582060314914932E-3</v>
      </c>
      <c r="CQ130" s="17">
        <v>1.2819307050209975E-2</v>
      </c>
      <c r="CR130" s="17">
        <v>4.2824350752297319E-2</v>
      </c>
      <c r="CS130" s="16">
        <f t="shared" si="44"/>
        <v>9.9685451771015815E-2</v>
      </c>
    </row>
    <row r="131" spans="1:97" x14ac:dyDescent="0.45">
      <c r="A131" s="7"/>
      <c r="B131" s="57"/>
      <c r="C131" s="17"/>
      <c r="D131" s="17"/>
      <c r="E131" s="17"/>
      <c r="G131" s="18"/>
      <c r="H131" s="18"/>
      <c r="I131" s="52"/>
      <c r="J131" s="17"/>
      <c r="K131" s="28"/>
      <c r="CK131" s="29"/>
      <c r="CN131" s="8">
        <v>64</v>
      </c>
      <c r="CO131" s="49">
        <v>0.05</v>
      </c>
      <c r="CP131" s="17">
        <v>-5.9163887404412741E-3</v>
      </c>
      <c r="CQ131" s="17">
        <v>1.275988333006425E-2</v>
      </c>
      <c r="CR131" s="17">
        <v>4.2857037993339536E-2</v>
      </c>
      <c r="CS131" s="16">
        <f t="shared" si="44"/>
        <v>9.970053258296252E-2</v>
      </c>
    </row>
    <row r="132" spans="1:97" x14ac:dyDescent="0.45">
      <c r="A132" s="7"/>
      <c r="B132" s="57"/>
      <c r="C132" s="17"/>
      <c r="D132" s="17"/>
      <c r="E132" s="17"/>
      <c r="G132" s="18"/>
      <c r="H132" s="18"/>
      <c r="I132" s="52"/>
      <c r="J132" s="17"/>
      <c r="K132" s="28"/>
      <c r="CK132" s="29"/>
      <c r="CN132" s="8">
        <v>64.5</v>
      </c>
      <c r="CO132" s="49">
        <v>0.05</v>
      </c>
      <c r="CP132" s="17">
        <v>-5.8750894897331915E-3</v>
      </c>
      <c r="CQ132" s="17">
        <v>1.2700567507410752E-2</v>
      </c>
      <c r="CR132" s="17">
        <v>4.2887553073242768E-2</v>
      </c>
      <c r="CS132" s="16">
        <f t="shared" si="44"/>
        <v>9.9713031090920334E-2</v>
      </c>
    </row>
    <row r="133" spans="1:97" x14ac:dyDescent="0.45">
      <c r="A133" s="7"/>
      <c r="B133" s="57"/>
      <c r="C133" s="17"/>
      <c r="D133" s="17"/>
      <c r="E133" s="17"/>
      <c r="G133" s="18"/>
      <c r="H133" s="18"/>
      <c r="I133" s="44"/>
      <c r="J133" s="17"/>
      <c r="K133" s="28"/>
      <c r="CK133" s="29"/>
      <c r="CN133" s="8">
        <v>65</v>
      </c>
      <c r="CO133" s="49">
        <v>0.05</v>
      </c>
      <c r="CP133" s="17">
        <v>-5.8342999127839398E-3</v>
      </c>
      <c r="CQ133" s="17">
        <v>1.2641371006649874E-2</v>
      </c>
      <c r="CR133" s="17">
        <v>4.2915931971591596E-2</v>
      </c>
      <c r="CS133" s="16">
        <f t="shared" si="44"/>
        <v>9.9723003065457533E-2</v>
      </c>
    </row>
    <row r="134" spans="1:97" x14ac:dyDescent="0.45">
      <c r="A134" s="7"/>
      <c r="B134" s="57"/>
      <c r="C134" s="17"/>
      <c r="D134" s="17"/>
      <c r="E134" s="17"/>
      <c r="G134" s="18"/>
      <c r="H134" s="18"/>
      <c r="I134" s="44"/>
      <c r="J134" s="17"/>
      <c r="K134" s="28"/>
      <c r="CK134" s="29"/>
      <c r="CN134" s="8">
        <v>65.5</v>
      </c>
      <c r="CO134" s="49">
        <v>0.05</v>
      </c>
      <c r="CP134" s="17">
        <v>-5.7940117996533175E-3</v>
      </c>
      <c r="CQ134" s="17">
        <v>1.2582304753861252E-2</v>
      </c>
      <c r="CR134" s="17">
        <v>4.294221016397639E-2</v>
      </c>
      <c r="CS134" s="16">
        <f t="shared" ref="CS134:CS197" si="45">SUM(CO134:CR134)</f>
        <v>9.9730503118184322E-2</v>
      </c>
    </row>
    <row r="135" spans="1:97" x14ac:dyDescent="0.45">
      <c r="A135" s="7"/>
      <c r="B135" s="57"/>
      <c r="C135" s="17"/>
      <c r="D135" s="17"/>
      <c r="E135" s="17"/>
      <c r="G135" s="18"/>
      <c r="H135" s="18"/>
      <c r="I135" s="44"/>
      <c r="J135" s="17"/>
      <c r="K135" s="28"/>
      <c r="CK135" s="29"/>
      <c r="CN135" s="8">
        <v>66</v>
      </c>
      <c r="CO135" s="49">
        <v>0.05</v>
      </c>
      <c r="CP135" s="17">
        <v>-5.7542170938327418E-3</v>
      </c>
      <c r="CQ135" s="17">
        <v>1.2523379193358858E-2</v>
      </c>
      <c r="CR135" s="17">
        <v>4.2966422628661016E-2</v>
      </c>
      <c r="CS135" s="16">
        <f t="shared" si="45"/>
        <v>9.9735584728187138E-2</v>
      </c>
    </row>
    <row r="136" spans="1:97" x14ac:dyDescent="0.45">
      <c r="A136" s="7"/>
      <c r="B136" s="57"/>
      <c r="C136" s="17"/>
      <c r="D136" s="17"/>
      <c r="E136" s="17"/>
      <c r="G136" s="18"/>
      <c r="H136" s="18"/>
      <c r="I136" s="44"/>
      <c r="J136" s="17"/>
      <c r="K136" s="28"/>
      <c r="CK136" s="29"/>
      <c r="CN136" s="8">
        <v>66.5</v>
      </c>
      <c r="CO136" s="49">
        <v>0.05</v>
      </c>
      <c r="CP136" s="17">
        <v>-5.7149078891036795E-3</v>
      </c>
      <c r="CQ136" s="17">
        <v>1.2464604303740452E-2</v>
      </c>
      <c r="CR136" s="17">
        <v>4.2988603853164789E-2</v>
      </c>
      <c r="CS136" s="16">
        <f t="shared" si="45"/>
        <v>9.9738300267801561E-2</v>
      </c>
    </row>
    <row r="137" spans="1:97" x14ac:dyDescent="0.45">
      <c r="A137" s="7"/>
      <c r="B137" s="57"/>
      <c r="C137" s="17"/>
      <c r="D137" s="17"/>
      <c r="E137" s="17"/>
      <c r="G137" s="18"/>
      <c r="H137" s="18"/>
      <c r="I137" s="44"/>
      <c r="J137" s="17"/>
      <c r="K137" s="28"/>
      <c r="CK137" s="29"/>
      <c r="CN137" s="8">
        <v>67</v>
      </c>
      <c r="CO137" s="49">
        <v>0.05</v>
      </c>
      <c r="CP137" s="17">
        <v>-5.676076426464385E-3</v>
      </c>
      <c r="CQ137" s="17">
        <v>1.240598961344638E-2</v>
      </c>
      <c r="CR137" s="17">
        <v>4.3008787840759365E-2</v>
      </c>
      <c r="CS137" s="16">
        <f t="shared" si="45"/>
        <v>9.973870102774135E-2</v>
      </c>
    </row>
    <row r="138" spans="1:97" x14ac:dyDescent="0.45">
      <c r="A138" s="7"/>
      <c r="B138" s="57"/>
      <c r="C138" s="17"/>
      <c r="D138" s="17"/>
      <c r="E138" s="17"/>
      <c r="G138" s="18"/>
      <c r="H138" s="18"/>
      <c r="I138" s="44"/>
      <c r="J138" s="17"/>
      <c r="K138" s="28"/>
      <c r="CK138" s="29"/>
      <c r="CN138" s="8">
        <v>67.5</v>
      </c>
      <c r="CO138" s="49">
        <v>0.05</v>
      </c>
      <c r="CP138" s="17">
        <v>-5.637715091123408E-3</v>
      </c>
      <c r="CQ138" s="17">
        <v>1.2347544215842074E-2</v>
      </c>
      <c r="CR138" s="17">
        <v>4.3027008116882037E-2</v>
      </c>
      <c r="CS138" s="16">
        <f t="shared" si="45"/>
        <v>9.9736837241600707E-2</v>
      </c>
    </row>
    <row r="139" spans="1:97" x14ac:dyDescent="0.45">
      <c r="A139" s="7"/>
      <c r="B139" s="57"/>
      <c r="C139" s="17"/>
      <c r="D139" s="17"/>
      <c r="E139" s="17"/>
      <c r="G139" s="18"/>
      <c r="H139" s="18"/>
      <c r="I139" s="44"/>
      <c r="J139" s="17"/>
      <c r="K139" s="28"/>
      <c r="CK139" s="29"/>
      <c r="CN139" s="8">
        <v>68</v>
      </c>
      <c r="CO139" s="49">
        <v>0.05</v>
      </c>
      <c r="CP139" s="17">
        <v>-5.5998164095583496E-3</v>
      </c>
      <c r="CQ139" s="17">
        <v>1.2289276783838366E-2</v>
      </c>
      <c r="CR139" s="17">
        <v>4.3043297735466321E-2</v>
      </c>
      <c r="CS139" s="16">
        <f t="shared" si="45"/>
        <v>9.9732758109746328E-2</v>
      </c>
    </row>
    <row r="140" spans="1:97" x14ac:dyDescent="0.45">
      <c r="A140" s="7"/>
      <c r="B140" s="57"/>
      <c r="C140" s="17"/>
      <c r="D140" s="17"/>
      <c r="E140" s="17"/>
      <c r="G140" s="18"/>
      <c r="H140" s="18"/>
      <c r="I140" s="44"/>
      <c r="J140" s="17"/>
      <c r="K140" s="28"/>
      <c r="CK140" s="29"/>
      <c r="CN140" s="8">
        <v>68.5</v>
      </c>
      <c r="CO140" s="49">
        <v>0.05</v>
      </c>
      <c r="CP140" s="17">
        <v>-5.5623730466384117E-3</v>
      </c>
      <c r="CQ140" s="17">
        <v>1.223119558406317E-2</v>
      </c>
      <c r="CR140" s="17">
        <v>4.3057689285190721E-2</v>
      </c>
      <c r="CS140" s="16">
        <f t="shared" si="45"/>
        <v>9.9726511822615493E-2</v>
      </c>
    </row>
    <row r="141" spans="1:97" x14ac:dyDescent="0.45">
      <c r="A141" s="7"/>
      <c r="B141" s="57"/>
      <c r="C141" s="17"/>
      <c r="D141" s="17"/>
      <c r="E141" s="17"/>
      <c r="G141" s="18"/>
      <c r="H141" s="18"/>
      <c r="I141" s="44"/>
      <c r="J141" s="17"/>
      <c r="K141" s="28"/>
      <c r="CK141" s="29"/>
      <c r="CN141" s="8">
        <v>69</v>
      </c>
      <c r="CO141" s="49">
        <v>0.05</v>
      </c>
      <c r="CP141" s="17">
        <v>-5.5253778028092537E-3</v>
      </c>
      <c r="CQ141" s="17">
        <v>1.2173308490597853E-2</v>
      </c>
      <c r="CR141" s="17">
        <v>4.3070214895647135E-2</v>
      </c>
      <c r="CS141" s="16">
        <f t="shared" si="45"/>
        <v>9.9718145583435738E-2</v>
      </c>
    </row>
    <row r="142" spans="1:97" x14ac:dyDescent="0.45">
      <c r="A142" s="7"/>
      <c r="B142" s="57"/>
      <c r="C142" s="17"/>
      <c r="D142" s="17"/>
      <c r="E142" s="17"/>
      <c r="G142" s="18"/>
      <c r="H142" s="18"/>
      <c r="I142" s="44"/>
      <c r="J142" s="17"/>
      <c r="K142" s="28"/>
      <c r="CK142" s="29"/>
      <c r="CN142" s="8">
        <v>69.5</v>
      </c>
      <c r="CO142" s="49">
        <v>0.05</v>
      </c>
      <c r="CP142" s="17">
        <v>-5.4888236113387993E-3</v>
      </c>
      <c r="CQ142" s="17">
        <v>1.2115622998291055E-2</v>
      </c>
      <c r="CR142" s="17">
        <v>4.3080906243429501E-2</v>
      </c>
      <c r="CS142" s="16">
        <f t="shared" si="45"/>
        <v>9.9707705630381754E-2</v>
      </c>
    </row>
    <row r="143" spans="1:97" x14ac:dyDescent="0.45">
      <c r="A143" s="7"/>
      <c r="B143" s="57"/>
      <c r="C143" s="17"/>
      <c r="D143" s="17"/>
      <c r="E143" s="17"/>
      <c r="G143" s="18"/>
      <c r="H143" s="18"/>
      <c r="I143" s="44"/>
      <c r="J143" s="17"/>
      <c r="K143" s="28"/>
      <c r="CK143" s="29"/>
      <c r="CN143" s="8">
        <v>70</v>
      </c>
      <c r="CO143" s="49">
        <v>0.05</v>
      </c>
      <c r="CP143" s="17">
        <v>-5.4527035356225634E-3</v>
      </c>
      <c r="CQ143" s="17">
        <v>1.2058146235662502E-2</v>
      </c>
      <c r="CR143" s="17">
        <v>4.3089794558143962E-2</v>
      </c>
      <c r="CS143" s="16">
        <f t="shared" si="45"/>
        <v>9.9695237258183911E-2</v>
      </c>
    </row>
    <row r="144" spans="1:97" x14ac:dyDescent="0.45">
      <c r="A144" s="7"/>
      <c r="B144" s="57"/>
      <c r="C144" s="17"/>
      <c r="D144" s="17"/>
      <c r="E144" s="17"/>
      <c r="G144" s="18"/>
      <c r="H144" s="18"/>
      <c r="I144" s="44"/>
      <c r="J144" s="17"/>
      <c r="K144" s="28"/>
      <c r="CK144" s="29"/>
      <c r="CN144" s="8">
        <v>70.5</v>
      </c>
      <c r="CO144" s="49">
        <v>0.05</v>
      </c>
      <c r="CP144" s="17">
        <v>-5.417010766547211E-3</v>
      </c>
      <c r="CQ144" s="17">
        <v>1.2000884977408909E-2</v>
      </c>
      <c r="CR144" s="17">
        <v>4.3096910628341416E-2</v>
      </c>
      <c r="CS144" s="16">
        <f t="shared" si="45"/>
        <v>9.9680784839203118E-2</v>
      </c>
    </row>
    <row r="145" spans="1:97" x14ac:dyDescent="0.45">
      <c r="A145" s="7"/>
      <c r="B145" s="57"/>
      <c r="C145" s="17"/>
      <c r="D145" s="17"/>
      <c r="E145" s="17"/>
      <c r="G145" s="18"/>
      <c r="H145" s="18"/>
      <c r="I145" s="44"/>
      <c r="J145" s="17"/>
      <c r="K145" s="28"/>
      <c r="CK145" s="29"/>
      <c r="CN145" s="8">
        <v>71</v>
      </c>
      <c r="CO145" s="49">
        <v>0.05</v>
      </c>
      <c r="CP145" s="17">
        <v>-5.3817386199109798E-3</v>
      </c>
      <c r="CQ145" s="17">
        <v>1.1943845656523736E-2</v>
      </c>
      <c r="CR145" s="17">
        <v>4.3102284807373478E-2</v>
      </c>
      <c r="CS145" s="16">
        <f t="shared" si="45"/>
        <v>9.9664391843986233E-2</v>
      </c>
    </row>
    <row r="146" spans="1:97" x14ac:dyDescent="0.45">
      <c r="A146" s="7"/>
      <c r="B146" s="57"/>
      <c r="C146" s="17"/>
      <c r="D146" s="17"/>
      <c r="E146" s="17"/>
      <c r="G146" s="18"/>
      <c r="H146" s="18"/>
      <c r="I146" s="44"/>
      <c r="J146" s="17"/>
      <c r="K146" s="28"/>
      <c r="CK146" s="29"/>
      <c r="CN146" s="8">
        <v>71.5</v>
      </c>
      <c r="CO146" s="49">
        <v>0.05</v>
      </c>
      <c r="CP146" s="17">
        <v>-5.3468805338997257E-3</v>
      </c>
      <c r="CQ146" s="17">
        <v>1.1887034376042252E-2</v>
      </c>
      <c r="CR146" s="17">
        <v>4.310594701917287E-2</v>
      </c>
      <c r="CS146" s="16">
        <f t="shared" si="45"/>
        <v>9.9646100861315395E-2</v>
      </c>
    </row>
    <row r="147" spans="1:97" x14ac:dyDescent="0.45">
      <c r="A147" s="7"/>
      <c r="B147" s="57"/>
      <c r="C147" s="17"/>
      <c r="D147" s="17"/>
      <c r="E147" s="17"/>
      <c r="G147" s="18"/>
      <c r="H147" s="18"/>
      <c r="I147" s="44"/>
      <c r="J147" s="17"/>
      <c r="K147" s="28"/>
      <c r="CK147" s="29"/>
      <c r="CN147" s="8">
        <v>72</v>
      </c>
      <c r="CO147" s="49">
        <v>0.05</v>
      </c>
      <c r="CP147" s="17">
        <v>-5.3124300666173175E-3</v>
      </c>
      <c r="CQ147" s="17">
        <v>1.1830456920422953E-2</v>
      </c>
      <c r="CR147" s="17">
        <v>4.3107926763959123E-2</v>
      </c>
      <c r="CS147" s="16">
        <f t="shared" si="45"/>
        <v>9.9625953617764759E-2</v>
      </c>
    </row>
    <row r="148" spans="1:97" x14ac:dyDescent="0.45">
      <c r="A148" s="7"/>
      <c r="B148" s="57"/>
      <c r="C148" s="17"/>
      <c r="D148" s="17"/>
      <c r="E148" s="17"/>
      <c r="G148" s="18"/>
      <c r="H148" s="18"/>
      <c r="I148" s="44"/>
      <c r="J148" s="17"/>
      <c r="K148" s="28"/>
      <c r="CK148" s="29"/>
      <c r="CN148" s="8">
        <v>72.5</v>
      </c>
      <c r="CO148" s="49">
        <v>0.05</v>
      </c>
      <c r="CP148" s="17">
        <v>-5.2783808936691578E-3</v>
      </c>
      <c r="CQ148" s="17">
        <v>1.1774118766576159E-2</v>
      </c>
      <c r="CR148" s="17">
        <v>4.31082531238706E-2</v>
      </c>
      <c r="CS148" s="16">
        <f t="shared" si="45"/>
        <v>9.9603990996777608E-2</v>
      </c>
    </row>
    <row r="149" spans="1:97" x14ac:dyDescent="0.45">
      <c r="A149" s="7"/>
      <c r="B149" s="57"/>
      <c r="C149" s="17"/>
      <c r="D149" s="17"/>
      <c r="E149" s="17"/>
      <c r="G149" s="18"/>
      <c r="H149" s="18"/>
      <c r="I149" s="44"/>
      <c r="J149" s="17"/>
      <c r="K149" s="28"/>
      <c r="CK149" s="29"/>
      <c r="CN149" s="8">
        <v>73</v>
      </c>
      <c r="CO149" s="49">
        <v>0.05</v>
      </c>
      <c r="CP149" s="17">
        <v>-5.2447268057976533E-3</v>
      </c>
      <c r="CQ149" s="17">
        <v>1.1718025094550243E-2</v>
      </c>
      <c r="CR149" s="17">
        <v>4.3106954768523748E-2</v>
      </c>
      <c r="CS149" s="16">
        <f t="shared" si="45"/>
        <v>9.958025305727633E-2</v>
      </c>
    </row>
    <row r="150" spans="1:97" x14ac:dyDescent="0.45">
      <c r="A150" s="7"/>
      <c r="B150" s="57"/>
      <c r="C150" s="17"/>
      <c r="D150" s="17"/>
      <c r="E150" s="17"/>
      <c r="G150" s="18"/>
      <c r="H150" s="18"/>
      <c r="I150" s="44"/>
      <c r="J150" s="17"/>
      <c r="K150" s="28"/>
      <c r="CK150" s="29"/>
      <c r="CN150" s="8">
        <v>73.5</v>
      </c>
      <c r="CO150" s="49">
        <v>0.05</v>
      </c>
      <c r="CP150" s="17">
        <v>-5.2114617065684363E-3</v>
      </c>
      <c r="CQ150" s="17">
        <v>1.1662180797885609E-2</v>
      </c>
      <c r="CR150" s="17">
        <v>4.3104059960500506E-2</v>
      </c>
      <c r="CS150" s="16">
        <f t="shared" si="45"/>
        <v>9.9554779051817671E-2</v>
      </c>
    </row>
    <row r="151" spans="1:97" x14ac:dyDescent="0.45">
      <c r="A151" s="7"/>
      <c r="B151" s="57"/>
      <c r="C151" s="17"/>
      <c r="D151" s="17"/>
      <c r="E151" s="17"/>
      <c r="G151" s="18"/>
      <c r="H151" s="18"/>
      <c r="I151" s="44"/>
      <c r="J151" s="17"/>
      <c r="K151" s="28"/>
      <c r="CK151" s="29"/>
      <c r="CN151" s="8">
        <v>74</v>
      </c>
      <c r="CO151" s="49">
        <v>0.05</v>
      </c>
      <c r="CP151" s="17">
        <v>-5.1785796101062277E-3</v>
      </c>
      <c r="CQ151" s="17">
        <v>1.1606590493646353E-2</v>
      </c>
      <c r="CR151" s="17">
        <v>4.3099596560764841E-2</v>
      </c>
      <c r="CS151" s="16">
        <f t="shared" si="45"/>
        <v>9.9527607444304972E-2</v>
      </c>
    </row>
    <row r="152" spans="1:97" x14ac:dyDescent="0.45">
      <c r="A152" s="7"/>
      <c r="B152" s="57"/>
      <c r="C152" s="17"/>
      <c r="D152" s="17"/>
      <c r="E152" s="17"/>
      <c r="G152" s="18"/>
      <c r="H152" s="18"/>
      <c r="I152" s="44"/>
      <c r="J152" s="17"/>
      <c r="K152" s="28"/>
      <c r="CK152" s="29"/>
      <c r="CN152" s="8">
        <v>74.5</v>
      </c>
      <c r="CO152" s="49">
        <v>0.05</v>
      </c>
      <c r="CP152" s="17">
        <v>-5.1460746388792078E-3</v>
      </c>
      <c r="CQ152" s="17">
        <v>1.1551258532139133E-2</v>
      </c>
      <c r="CR152" s="17">
        <v>4.3093592034009164E-2</v>
      </c>
      <c r="CS152" s="16">
        <f t="shared" si="45"/>
        <v>9.9498775927269092E-2</v>
      </c>
    </row>
    <row r="153" spans="1:97" x14ac:dyDescent="0.45">
      <c r="A153" s="7"/>
      <c r="B153" s="57"/>
      <c r="C153" s="17"/>
      <c r="D153" s="17"/>
      <c r="E153" s="17"/>
      <c r="G153" s="18"/>
      <c r="H153" s="18"/>
      <c r="I153" s="44"/>
      <c r="J153" s="17"/>
      <c r="K153" s="28"/>
      <c r="CK153" s="29"/>
      <c r="CN153" s="8">
        <v>75</v>
      </c>
      <c r="CO153" s="49">
        <v>0.05</v>
      </c>
      <c r="CP153" s="17">
        <v>-5.113941021530813E-3</v>
      </c>
      <c r="CQ153" s="17">
        <v>1.149618900632856E-2</v>
      </c>
      <c r="CR153" s="17">
        <v>4.3086073453931721E-2</v>
      </c>
      <c r="CS153" s="16">
        <f t="shared" si="45"/>
        <v>9.9468321438729468E-2</v>
      </c>
    </row>
    <row r="154" spans="1:97" x14ac:dyDescent="0.45">
      <c r="A154" s="7"/>
      <c r="B154" s="57"/>
      <c r="C154" s="17"/>
      <c r="D154" s="17"/>
      <c r="E154" s="17"/>
      <c r="G154" s="18"/>
      <c r="H154" s="18"/>
      <c r="I154" s="44"/>
      <c r="J154" s="17"/>
      <c r="K154" s="28"/>
      <c r="CK154" s="29"/>
      <c r="CN154" s="8">
        <v>75.5</v>
      </c>
      <c r="CO154" s="49">
        <v>0.05</v>
      </c>
      <c r="CP154" s="17">
        <v>-5.0821730907579018E-3</v>
      </c>
      <c r="CQ154" s="17">
        <v>1.1441385760958156E-2</v>
      </c>
      <c r="CR154" s="17">
        <v>4.3077067508445741E-2</v>
      </c>
      <c r="CS154" s="16">
        <f t="shared" si="45"/>
        <v>9.9436280178646003E-2</v>
      </c>
    </row>
    <row r="155" spans="1:97" x14ac:dyDescent="0.45">
      <c r="A155" s="7"/>
      <c r="B155" s="57"/>
      <c r="C155" s="17"/>
      <c r="D155" s="17"/>
      <c r="E155" s="17"/>
      <c r="G155" s="18"/>
      <c r="H155" s="18"/>
      <c r="I155" s="44"/>
      <c r="J155" s="17"/>
      <c r="K155" s="28"/>
      <c r="CK155" s="29"/>
      <c r="CN155" s="8">
        <v>76</v>
      </c>
      <c r="CO155" s="49">
        <v>0.05</v>
      </c>
      <c r="CP155" s="17">
        <v>-5.0507652812342395E-3</v>
      </c>
      <c r="CQ155" s="17">
        <v>1.1386852401385639E-2</v>
      </c>
      <c r="CR155" s="17">
        <v>4.3066600504821036E-2</v>
      </c>
      <c r="CS155" s="16">
        <f t="shared" si="45"/>
        <v>9.9402687624972424E-2</v>
      </c>
    </row>
    <row r="156" spans="1:97" x14ac:dyDescent="0.45">
      <c r="A156" s="7"/>
      <c r="B156" s="57"/>
      <c r="C156" s="17"/>
      <c r="D156" s="17"/>
      <c r="E156" s="17"/>
      <c r="G156" s="18"/>
      <c r="H156" s="18"/>
      <c r="I156" s="44"/>
      <c r="J156" s="17"/>
      <c r="K156" s="28"/>
      <c r="CK156" s="29"/>
      <c r="CN156" s="8">
        <v>76.5</v>
      </c>
      <c r="CO156" s="49">
        <v>0.05</v>
      </c>
      <c r="CP156" s="17">
        <v>-5.0197121275782994E-3</v>
      </c>
      <c r="CQ156" s="17">
        <v>1.1332592302141047E-2</v>
      </c>
      <c r="CR156" s="17">
        <v>4.3054698374759316E-2</v>
      </c>
      <c r="CS156" s="16">
        <f t="shared" si="45"/>
        <v>9.9367578549322072E-2</v>
      </c>
    </row>
    <row r="157" spans="1:97" x14ac:dyDescent="0.45">
      <c r="A157" s="7"/>
      <c r="B157" s="57"/>
      <c r="C157" s="17"/>
      <c r="D157" s="17"/>
      <c r="E157" s="17"/>
      <c r="G157" s="18"/>
      <c r="H157" s="18"/>
      <c r="I157" s="44"/>
      <c r="J157" s="17"/>
      <c r="K157" s="28"/>
      <c r="CK157" s="29"/>
      <c r="CN157" s="8">
        <v>77</v>
      </c>
      <c r="CO157" s="49">
        <v>0.05</v>
      </c>
      <c r="CP157" s="17">
        <v>-4.9890082623643816E-3</v>
      </c>
      <c r="CQ157" s="17">
        <v>1.1278608615215947E-2</v>
      </c>
      <c r="CR157" s="17">
        <v>4.3041386679403666E-2</v>
      </c>
      <c r="CS157" s="16">
        <f t="shared" si="45"/>
        <v>9.9330987032255236E-2</v>
      </c>
    </row>
    <row r="158" spans="1:97" x14ac:dyDescent="0.45">
      <c r="A158" s="7"/>
      <c r="B158" s="57"/>
      <c r="C158" s="17"/>
      <c r="D158" s="17"/>
      <c r="E158" s="17"/>
      <c r="G158" s="18"/>
      <c r="H158" s="18"/>
      <c r="I158" s="44"/>
      <c r="J158" s="17"/>
      <c r="K158" s="28"/>
      <c r="CK158" s="29"/>
      <c r="CN158" s="8">
        <v>77.5</v>
      </c>
      <c r="CO158" s="49">
        <v>0.05</v>
      </c>
      <c r="CP158" s="17">
        <v>-4.9586484141760897E-3</v>
      </c>
      <c r="CQ158" s="17">
        <v>1.1224904278091809E-2</v>
      </c>
      <c r="CR158" s="17">
        <v>4.3026690614283276E-2</v>
      </c>
      <c r="CS158" s="16">
        <f t="shared" si="45"/>
        <v>9.9292946478199001E-2</v>
      </c>
    </row>
    <row r="159" spans="1:97" x14ac:dyDescent="0.45">
      <c r="A159" s="7"/>
      <c r="B159" s="57"/>
      <c r="C159" s="17"/>
      <c r="D159" s="17"/>
      <c r="E159" s="17"/>
      <c r="G159" s="18"/>
      <c r="H159" s="18"/>
      <c r="I159" s="44"/>
      <c r="J159" s="17"/>
      <c r="K159" s="28"/>
      <c r="CK159" s="29"/>
      <c r="CN159" s="8">
        <v>78</v>
      </c>
      <c r="CO159" s="49">
        <v>0.05</v>
      </c>
      <c r="CP159" s="17">
        <v>-4.9286274057012049E-3</v>
      </c>
      <c r="CQ159" s="17">
        <v>1.117148202151527E-2</v>
      </c>
      <c r="CR159" s="17">
        <v>4.3010635014194047E-2</v>
      </c>
      <c r="CS159" s="16">
        <f t="shared" si="45"/>
        <v>9.9253489630008115E-2</v>
      </c>
    </row>
    <row r="160" spans="1:97" x14ac:dyDescent="0.45">
      <c r="A160" s="7"/>
      <c r="B160" s="57"/>
      <c r="C160" s="17"/>
      <c r="D160" s="17"/>
      <c r="E160" s="17"/>
      <c r="G160" s="18"/>
      <c r="H160" s="18"/>
      <c r="I160" s="44"/>
      <c r="J160" s="17"/>
      <c r="K160" s="28"/>
      <c r="CK160" s="29"/>
      <c r="CN160" s="8">
        <v>78.5</v>
      </c>
      <c r="CO160" s="49">
        <v>0.05</v>
      </c>
      <c r="CP160" s="17">
        <v>-4.8989401518670607E-3</v>
      </c>
      <c r="CQ160" s="17">
        <v>1.1118344377027916E-2</v>
      </c>
      <c r="CR160" s="17">
        <v>4.2993244358016186E-2</v>
      </c>
      <c r="CS160" s="16">
        <f t="shared" si="45"/>
        <v>9.9212648583177049E-2</v>
      </c>
    </row>
    <row r="161" spans="1:97" x14ac:dyDescent="0.45">
      <c r="A161" s="7"/>
      <c r="B161" s="57"/>
      <c r="C161" s="17"/>
      <c r="D161" s="17"/>
      <c r="E161" s="17"/>
      <c r="G161" s="18"/>
      <c r="H161" s="18"/>
      <c r="I161" s="44"/>
      <c r="J161" s="17"/>
      <c r="K161" s="28"/>
      <c r="CK161" s="29"/>
      <c r="CN161" s="8">
        <v>79</v>
      </c>
      <c r="CO161" s="49">
        <v>0.05</v>
      </c>
      <c r="CP161" s="17">
        <v>-4.8695816580154793E-3</v>
      </c>
      <c r="CQ161" s="17">
        <v>1.1065493684257856E-2</v>
      </c>
      <c r="CR161" s="17">
        <v>4.2974542773469203E-2</v>
      </c>
      <c r="CS161" s="16">
        <f t="shared" si="45"/>
        <v>9.917045479971158E-2</v>
      </c>
    </row>
    <row r="162" spans="1:97" x14ac:dyDescent="0.45">
      <c r="A162" s="7"/>
      <c r="B162" s="57"/>
      <c r="C162" s="17"/>
      <c r="D162" s="17"/>
      <c r="E162" s="17"/>
      <c r="G162" s="18"/>
      <c r="H162" s="18"/>
      <c r="I162" s="44"/>
      <c r="J162" s="17"/>
      <c r="K162" s="28"/>
      <c r="CK162" s="29"/>
      <c r="CN162" s="8">
        <v>79.5</v>
      </c>
      <c r="CO162" s="49">
        <v>0.05</v>
      </c>
      <c r="CP162" s="17">
        <v>-4.84054701811643E-3</v>
      </c>
      <c r="CQ162" s="17">
        <v>1.1012932097980311E-2</v>
      </c>
      <c r="CR162" s="17">
        <v>4.2954554041805475E-2</v>
      </c>
      <c r="CS162" s="16">
        <f t="shared" si="45"/>
        <v>9.9126939121669366E-2</v>
      </c>
    </row>
    <row r="163" spans="1:97" x14ac:dyDescent="0.45">
      <c r="A163" s="7"/>
      <c r="B163" s="57"/>
      <c r="C163" s="17"/>
      <c r="D163" s="17"/>
      <c r="E163" s="17"/>
      <c r="G163" s="18"/>
      <c r="H163" s="18"/>
      <c r="I163" s="44"/>
      <c r="J163" s="17"/>
      <c r="K163" s="28"/>
      <c r="CK163" s="29"/>
      <c r="CN163" s="8">
        <v>80</v>
      </c>
      <c r="CO163" s="49">
        <v>0.05</v>
      </c>
      <c r="CP163" s="17">
        <v>-4.81183141301951E-3</v>
      </c>
      <c r="CQ163" s="17">
        <v>1.0960661594954041E-2</v>
      </c>
      <c r="CR163" s="17">
        <v>4.2933301602442901E-2</v>
      </c>
      <c r="CS163" s="16">
        <f t="shared" si="45"/>
        <v>9.9082131784377442E-2</v>
      </c>
    </row>
    <row r="164" spans="1:97" x14ac:dyDescent="0.45">
      <c r="A164" s="7"/>
      <c r="B164" s="57"/>
      <c r="C164" s="17"/>
      <c r="D164" s="17"/>
      <c r="E164" s="17"/>
      <c r="G164" s="18"/>
      <c r="H164" s="18"/>
      <c r="I164" s="44"/>
      <c r="J164" s="17"/>
      <c r="K164" s="28"/>
      <c r="CK164" s="29"/>
      <c r="CN164" s="8">
        <v>80.5</v>
      </c>
      <c r="CO164" s="49">
        <v>0.05</v>
      </c>
      <c r="CP164" s="17">
        <v>-4.7834301087424326E-3</v>
      </c>
      <c r="CQ164" s="17">
        <v>1.0908683980540417E-2</v>
      </c>
      <c r="CR164" s="17">
        <v>4.2910808557537553E-2</v>
      </c>
      <c r="CS164" s="16">
        <f t="shared" si="45"/>
        <v>9.9036062429335547E-2</v>
      </c>
    </row>
    <row r="165" spans="1:97" x14ac:dyDescent="0.45">
      <c r="A165" s="7"/>
      <c r="B165" s="57"/>
      <c r="C165" s="17"/>
      <c r="D165" s="17"/>
      <c r="E165" s="17"/>
      <c r="G165" s="18"/>
      <c r="H165" s="18"/>
      <c r="I165" s="44"/>
      <c r="J165" s="17"/>
      <c r="K165" s="28"/>
      <c r="CK165" s="29"/>
      <c r="CN165" s="8">
        <v>81</v>
      </c>
      <c r="CO165" s="49">
        <v>0.05</v>
      </c>
      <c r="CP165" s="17">
        <v>-4.7553384547956877E-3</v>
      </c>
      <c r="CQ165" s="17">
        <v>1.0857000895111603E-2</v>
      </c>
      <c r="CR165" s="17">
        <v>4.2887097676497121E-2</v>
      </c>
      <c r="CS165" s="16">
        <f t="shared" si="45"/>
        <v>9.898876011681304E-2</v>
      </c>
    </row>
    <row r="166" spans="1:97" x14ac:dyDescent="0.45">
      <c r="A166" s="7"/>
      <c r="B166" s="57"/>
      <c r="C166" s="17"/>
      <c r="D166" s="17"/>
      <c r="E166" s="17"/>
      <c r="G166" s="18"/>
      <c r="H166" s="18"/>
      <c r="I166" s="44"/>
      <c r="J166" s="17"/>
      <c r="K166" s="28"/>
      <c r="CK166" s="29"/>
      <c r="CN166" s="8">
        <v>81.5</v>
      </c>
      <c r="CO166" s="49">
        <v>0.05</v>
      </c>
      <c r="CP166" s="17">
        <v>-4.7275518825425824E-3</v>
      </c>
      <c r="CQ166" s="17">
        <v>1.0805613820254209E-2</v>
      </c>
      <c r="CR166" s="17">
        <v>4.2862191400435706E-2</v>
      </c>
      <c r="CS166" s="16">
        <f t="shared" si="45"/>
        <v>9.8940253338147335E-2</v>
      </c>
    </row>
    <row r="167" spans="1:97" x14ac:dyDescent="0.45">
      <c r="A167" s="7"/>
      <c r="B167" s="57"/>
      <c r="C167" s="17"/>
      <c r="D167" s="17"/>
      <c r="E167" s="17"/>
      <c r="G167" s="18"/>
      <c r="H167" s="18"/>
      <c r="I167" s="44"/>
      <c r="J167" s="17"/>
      <c r="K167" s="28"/>
      <c r="CK167" s="29"/>
      <c r="CN167" s="8">
        <v>82</v>
      </c>
      <c r="CO167" s="49">
        <v>0.05</v>
      </c>
      <c r="CP167" s="17">
        <v>-4.7000659035938575E-3</v>
      </c>
      <c r="CQ167" s="17">
        <v>1.0754524084774571E-2</v>
      </c>
      <c r="CR167" s="17">
        <v>4.2836111846570941E-2</v>
      </c>
      <c r="CS167" s="16">
        <f t="shared" si="45"/>
        <v>9.8890570027751659E-2</v>
      </c>
    </row>
    <row r="168" spans="1:97" x14ac:dyDescent="0.45">
      <c r="A168" s="7"/>
      <c r="B168" s="57"/>
      <c r="C168" s="17"/>
      <c r="D168" s="17"/>
      <c r="E168" s="17"/>
      <c r="G168" s="18"/>
      <c r="H168" s="18"/>
      <c r="I168" s="44"/>
      <c r="J168" s="17"/>
      <c r="K168" s="28"/>
      <c r="CK168" s="29"/>
      <c r="CN168" s="8">
        <v>82.5</v>
      </c>
      <c r="CO168" s="49">
        <v>0.05</v>
      </c>
      <c r="CP168" s="17">
        <v>-4.6728761082361434E-3</v>
      </c>
      <c r="CQ168" s="17">
        <v>1.070373287051161E-2</v>
      </c>
      <c r="CR168" s="17">
        <v>4.2808880812564107E-2</v>
      </c>
      <c r="CS168" s="16">
        <f t="shared" si="45"/>
        <v>9.8839737574839576E-2</v>
      </c>
    </row>
    <row r="169" spans="1:97" x14ac:dyDescent="0.45">
      <c r="A169" s="7"/>
      <c r="B169" s="57"/>
      <c r="C169" s="17"/>
      <c r="D169" s="17"/>
      <c r="E169" s="17"/>
      <c r="G169" s="18"/>
      <c r="H169" s="18"/>
      <c r="I169" s="44"/>
      <c r="J169" s="17"/>
      <c r="K169" s="28"/>
      <c r="CK169" s="29"/>
      <c r="CN169" s="8">
        <v>83</v>
      </c>
      <c r="CO169" s="49">
        <v>0.05</v>
      </c>
      <c r="CP169" s="17">
        <v>-4.6459781638934754E-3</v>
      </c>
      <c r="CQ169" s="17">
        <v>1.0653241217963077E-2</v>
      </c>
      <c r="CR169" s="17">
        <v>4.2780519780803862E-2</v>
      </c>
      <c r="CS169" s="16">
        <f t="shared" si="45"/>
        <v>9.8787782834873467E-2</v>
      </c>
    </row>
    <row r="170" spans="1:97" x14ac:dyDescent="0.45">
      <c r="A170" s="7"/>
      <c r="B170" s="57"/>
      <c r="C170" s="17"/>
      <c r="D170" s="17"/>
      <c r="E170" s="17"/>
      <c r="G170" s="18"/>
      <c r="H170" s="18"/>
      <c r="I170" s="44"/>
      <c r="J170" s="17"/>
      <c r="K170" s="28"/>
      <c r="CK170" s="29"/>
      <c r="CN170" s="8">
        <v>83.5</v>
      </c>
      <c r="CO170" s="49">
        <v>0.05</v>
      </c>
      <c r="CP170" s="17">
        <v>-4.6193678136211549E-3</v>
      </c>
      <c r="CQ170" s="17">
        <v>1.0603050031730794E-2</v>
      </c>
      <c r="CR170" s="17">
        <v>4.275104992263442E-2</v>
      </c>
      <c r="CS170" s="16">
        <f t="shared" si="45"/>
        <v>9.8734732140744061E-2</v>
      </c>
    </row>
    <row r="171" spans="1:97" x14ac:dyDescent="0.45">
      <c r="A171" s="7"/>
      <c r="B171" s="57"/>
      <c r="C171" s="17"/>
      <c r="D171" s="17"/>
      <c r="E171" s="17"/>
      <c r="G171" s="18"/>
      <c r="H171" s="18"/>
      <c r="I171" s="44"/>
      <c r="J171" s="17"/>
      <c r="K171" s="28"/>
      <c r="CK171" s="29"/>
      <c r="CN171" s="8">
        <v>84</v>
      </c>
      <c r="CO171" s="49">
        <v>0.05</v>
      </c>
      <c r="CP171" s="17">
        <v>-4.5930408746312481E-3</v>
      </c>
      <c r="CQ171" s="17">
        <v>1.0553160085790396E-2</v>
      </c>
      <c r="CR171" s="17">
        <v>4.2720492102528859E-2</v>
      </c>
      <c r="CS171" s="16">
        <f t="shared" si="45"/>
        <v>9.8680611313688008E-2</v>
      </c>
    </row>
    <row r="172" spans="1:97" x14ac:dyDescent="0.45">
      <c r="A172" s="7"/>
      <c r="B172" s="57"/>
      <c r="C172" s="17"/>
      <c r="D172" s="17"/>
      <c r="E172" s="17"/>
      <c r="G172" s="18"/>
      <c r="H172" s="18"/>
      <c r="I172" s="44"/>
      <c r="J172" s="17"/>
      <c r="K172" s="28"/>
      <c r="CK172" s="29"/>
      <c r="CN172" s="8">
        <v>84.5</v>
      </c>
      <c r="CO172" s="49">
        <v>0.05</v>
      </c>
      <c r="CP172" s="17">
        <v>-4.5669932368489954E-3</v>
      </c>
      <c r="CQ172" s="17">
        <v>1.0503572028590809E-2</v>
      </c>
      <c r="CR172" s="17">
        <v>4.2688866882208278E-2</v>
      </c>
      <c r="CS172" s="16">
        <f t="shared" si="45"/>
        <v>9.8625445673950096E-2</v>
      </c>
    </row>
    <row r="173" spans="1:97" x14ac:dyDescent="0.45">
      <c r="A173" s="7"/>
      <c r="B173" s="57"/>
      <c r="C173" s="17"/>
      <c r="D173" s="17"/>
      <c r="E173" s="17"/>
      <c r="G173" s="18"/>
      <c r="H173" s="18"/>
      <c r="I173" s="44"/>
      <c r="J173" s="17"/>
      <c r="K173" s="28"/>
      <c r="CK173" s="29"/>
      <c r="CN173" s="8">
        <v>85</v>
      </c>
      <c r="CO173" s="49">
        <v>0.05</v>
      </c>
      <c r="CP173" s="17">
        <v>-4.5412208614994754E-3</v>
      </c>
      <c r="CQ173" s="17">
        <v>1.0454286387988657E-2</v>
      </c>
      <c r="CR173" s="17">
        <v>4.2656194524707418E-2</v>
      </c>
      <c r="CS173" s="16">
        <f t="shared" si="45"/>
        <v>9.8569260051196594E-2</v>
      </c>
    </row>
    <row r="174" spans="1:97" x14ac:dyDescent="0.45">
      <c r="A174" s="7"/>
      <c r="B174" s="57"/>
      <c r="C174" s="17"/>
      <c r="D174" s="17"/>
      <c r="E174" s="17"/>
      <c r="G174" s="18"/>
      <c r="H174" s="18"/>
      <c r="I174" s="44"/>
      <c r="J174" s="17"/>
      <c r="K174" s="28"/>
      <c r="CK174" s="29"/>
      <c r="CN174" s="8">
        <v>85.5</v>
      </c>
      <c r="CO174" s="49">
        <v>0.05</v>
      </c>
      <c r="CP174" s="17">
        <v>-4.5157197797238572E-3</v>
      </c>
      <c r="CQ174" s="17">
        <v>1.0405303576022606E-2</v>
      </c>
      <c r="CR174" s="17">
        <v>4.2622494998387467E-2</v>
      </c>
      <c r="CS174" s="16">
        <f t="shared" si="45"/>
        <v>9.8512078794686223E-2</v>
      </c>
    </row>
    <row r="175" spans="1:97" x14ac:dyDescent="0.45">
      <c r="A175" s="7"/>
      <c r="B175" s="57"/>
      <c r="C175" s="17"/>
      <c r="D175" s="17"/>
      <c r="E175" s="17"/>
      <c r="G175" s="18"/>
      <c r="H175" s="18"/>
      <c r="I175" s="44"/>
      <c r="J175" s="17"/>
      <c r="K175" s="28"/>
      <c r="CK175" s="29"/>
      <c r="CN175" s="8">
        <v>86</v>
      </c>
      <c r="CO175" s="49">
        <v>0.05</v>
      </c>
      <c r="CP175" s="17">
        <v>-4.4904860912245619E-3</v>
      </c>
      <c r="CQ175" s="17">
        <v>1.0356623893532436E-2</v>
      </c>
      <c r="CR175" s="17">
        <v>4.2587787980896845E-2</v>
      </c>
      <c r="CS175" s="16">
        <f t="shared" si="45"/>
        <v>9.8453925783204721E-2</v>
      </c>
    </row>
    <row r="176" spans="1:97" x14ac:dyDescent="0.45">
      <c r="A176" s="7"/>
      <c r="B176" s="57"/>
      <c r="C176" s="17"/>
      <c r="D176" s="17"/>
      <c r="E176" s="17"/>
      <c r="G176" s="18"/>
      <c r="H176" s="18"/>
      <c r="I176" s="44"/>
      <c r="J176" s="17"/>
      <c r="K176" s="28"/>
      <c r="CK176" s="29"/>
      <c r="CN176" s="8">
        <v>86.5</v>
      </c>
      <c r="CO176" s="49">
        <v>0.05</v>
      </c>
      <c r="CP176" s="17">
        <v>-4.465515962938732E-3</v>
      </c>
      <c r="CQ176" s="17">
        <v>1.0308247534627604E-2</v>
      </c>
      <c r="CR176" s="17">
        <v>4.2552092863080392E-2</v>
      </c>
      <c r="CS176" s="16">
        <f t="shared" si="45"/>
        <v>9.8394824434769268E-2</v>
      </c>
    </row>
    <row r="177" spans="1:97" x14ac:dyDescent="0.45">
      <c r="A177" s="7"/>
      <c r="B177" s="57"/>
      <c r="C177" s="17"/>
      <c r="D177" s="17"/>
      <c r="E177" s="17"/>
      <c r="G177" s="18"/>
      <c r="H177" s="18"/>
      <c r="I177" s="44"/>
      <c r="J177" s="17"/>
      <c r="K177" s="28"/>
      <c r="CK177" s="29"/>
      <c r="CN177" s="8">
        <v>87</v>
      </c>
      <c r="CO177" s="49">
        <v>0.05</v>
      </c>
      <c r="CP177" s="17">
        <v>-4.4408056277393535E-3</v>
      </c>
      <c r="CQ177" s="17">
        <v>1.0260174591009837E-2</v>
      </c>
      <c r="CR177" s="17">
        <v>4.2515428752837842E-2</v>
      </c>
      <c r="CS177" s="16">
        <f t="shared" si="45"/>
        <v>9.8334797716108327E-2</v>
      </c>
    </row>
    <row r="178" spans="1:97" x14ac:dyDescent="0.45">
      <c r="A178" s="7"/>
      <c r="B178" s="57"/>
      <c r="C178" s="17"/>
      <c r="D178" s="17"/>
      <c r="E178" s="17"/>
      <c r="G178" s="18"/>
      <c r="H178" s="18"/>
      <c r="I178" s="44"/>
      <c r="J178" s="17"/>
      <c r="K178" s="28"/>
      <c r="CK178" s="29"/>
      <c r="CN178" s="8">
        <v>87.5</v>
      </c>
      <c r="CO178" s="49">
        <v>0.05</v>
      </c>
      <c r="CP178" s="17">
        <v>-4.4163513831634521E-3</v>
      </c>
      <c r="CQ178" s="17">
        <v>1.0212405056154198E-2</v>
      </c>
      <c r="CR178" s="17">
        <v>4.2477814478932112E-2</v>
      </c>
      <c r="CS178" s="16">
        <f t="shared" si="45"/>
        <v>9.8273868151922864E-2</v>
      </c>
    </row>
    <row r="179" spans="1:97" x14ac:dyDescent="0.45">
      <c r="A179" s="7"/>
      <c r="B179" s="57"/>
      <c r="C179" s="17"/>
      <c r="D179" s="17"/>
      <c r="E179" s="17"/>
      <c r="G179" s="18"/>
      <c r="H179" s="18"/>
      <c r="I179" s="44"/>
      <c r="J179" s="17"/>
      <c r="K179" s="28"/>
      <c r="CK179" s="29"/>
      <c r="CN179" s="8">
        <v>88</v>
      </c>
      <c r="CO179" s="49">
        <v>0.05</v>
      </c>
      <c r="CP179" s="17">
        <v>-4.3921495901667502E-3</v>
      </c>
      <c r="CQ179" s="17">
        <v>1.0164938829352928E-2</v>
      </c>
      <c r="CR179" s="17">
        <v>4.2439268594748031E-2</v>
      </c>
      <c r="CS179" s="16">
        <f t="shared" si="45"/>
        <v>9.8212057833934219E-2</v>
      </c>
    </row>
    <row r="180" spans="1:97" x14ac:dyDescent="0.45">
      <c r="A180" s="7"/>
      <c r="B180" s="57"/>
      <c r="C180" s="17"/>
      <c r="D180" s="17"/>
      <c r="E180" s="17"/>
      <c r="G180" s="18"/>
      <c r="H180" s="18"/>
      <c r="I180" s="44"/>
      <c r="J180" s="17"/>
      <c r="K180" s="28"/>
      <c r="CK180" s="29"/>
      <c r="CN180" s="8">
        <v>88.5</v>
      </c>
      <c r="CO180" s="49">
        <v>0.05</v>
      </c>
      <c r="CP180" s="17">
        <v>-4.3681966719042072E-3</v>
      </c>
      <c r="CQ180" s="17">
        <v>1.011777571962626E-2</v>
      </c>
      <c r="CR180" s="17">
        <v>4.2399809382002288E-2</v>
      </c>
      <c r="CS180" s="16">
        <f t="shared" si="45"/>
        <v>9.8149388429724344E-2</v>
      </c>
    </row>
    <row r="181" spans="1:97" x14ac:dyDescent="0.45">
      <c r="A181" s="7"/>
      <c r="B181" s="57"/>
      <c r="C181" s="17"/>
      <c r="D181" s="17"/>
      <c r="E181" s="17"/>
      <c r="G181" s="18"/>
      <c r="H181" s="18"/>
      <c r="I181" s="44"/>
      <c r="J181" s="17"/>
      <c r="K181" s="28"/>
      <c r="CK181" s="29"/>
      <c r="CN181" s="8">
        <v>89</v>
      </c>
      <c r="CO181" s="49">
        <v>0.05</v>
      </c>
      <c r="CP181" s="17">
        <v>-4.3444891125358851E-3</v>
      </c>
      <c r="CQ181" s="17">
        <v>1.0070915449504204E-2</v>
      </c>
      <c r="CR181" s="17">
        <v>4.2359454854404975E-2</v>
      </c>
      <c r="CS181" s="16">
        <f t="shared" si="45"/>
        <v>9.8085881191373292E-2</v>
      </c>
    </row>
    <row r="182" spans="1:97" x14ac:dyDescent="0.45">
      <c r="A182" s="7"/>
      <c r="B182" s="57"/>
      <c r="C182" s="17"/>
      <c r="D182" s="17"/>
      <c r="E182" s="17"/>
      <c r="G182" s="18"/>
      <c r="H182" s="18"/>
      <c r="I182" s="44"/>
      <c r="J182" s="17"/>
      <c r="K182" s="28"/>
      <c r="CK182" s="29"/>
      <c r="CN182" s="8">
        <v>89.5</v>
      </c>
      <c r="CO182" s="49">
        <v>0.05</v>
      </c>
      <c r="CP182" s="17">
        <v>-4.3210234560575704E-3</v>
      </c>
      <c r="CQ182" s="17">
        <v>1.0024357658683324E-2</v>
      </c>
      <c r="CR182" s="17">
        <v>4.2318222761273672E-2</v>
      </c>
      <c r="CS182" s="16">
        <f t="shared" si="45"/>
        <v>9.8021556963899428E-2</v>
      </c>
    </row>
    <row r="183" spans="1:97" x14ac:dyDescent="0.45">
      <c r="A183" s="7"/>
      <c r="B183" s="57"/>
      <c r="C183" s="17"/>
      <c r="D183" s="17"/>
      <c r="E183" s="17"/>
      <c r="G183" s="18"/>
      <c r="H183" s="18"/>
      <c r="I183" s="44"/>
      <c r="J183" s="17"/>
      <c r="K183" s="28"/>
      <c r="CK183" s="29"/>
      <c r="CN183" s="8">
        <v>90</v>
      </c>
      <c r="CO183" s="49">
        <v>0.05</v>
      </c>
      <c r="CP183" s="17">
        <v>-4.2977963051556243E-3</v>
      </c>
      <c r="CQ183" s="17">
        <v>9.978101907562242E-3</v>
      </c>
      <c r="CR183" s="17">
        <v>4.2276130591100275E-2</v>
      </c>
      <c r="CS183" s="16">
        <f t="shared" si="45"/>
        <v>9.7956436193506899E-2</v>
      </c>
    </row>
    <row r="184" spans="1:97" x14ac:dyDescent="0.45">
      <c r="A184" s="7"/>
      <c r="B184" s="57"/>
      <c r="C184" s="17"/>
      <c r="D184" s="17"/>
      <c r="E184" s="17"/>
      <c r="G184" s="18"/>
      <c r="H184" s="18"/>
      <c r="I184" s="44"/>
      <c r="J184" s="17"/>
      <c r="K184" s="28"/>
      <c r="CK184" s="29"/>
      <c r="CN184" s="8">
        <v>90.5</v>
      </c>
      <c r="CO184" s="49">
        <v>0.05</v>
      </c>
      <c r="CP184" s="17">
        <v>-4.2748043200855207E-3</v>
      </c>
      <c r="CQ184" s="17">
        <v>9.9321476806596264E-3</v>
      </c>
      <c r="CR184" s="17">
        <v>4.223319557507163E-2</v>
      </c>
      <c r="CS184" s="16">
        <f t="shared" si="45"/>
        <v>9.7890538935645741E-2</v>
      </c>
    </row>
    <row r="185" spans="1:97" x14ac:dyDescent="0.45">
      <c r="A185" s="7"/>
      <c r="B185" s="57"/>
      <c r="C185" s="17"/>
      <c r="D185" s="17"/>
      <c r="E185" s="17"/>
      <c r="G185" s="18"/>
      <c r="H185" s="18"/>
      <c r="I185" s="44"/>
      <c r="J185" s="17"/>
      <c r="K185" s="28"/>
      <c r="CK185" s="29"/>
      <c r="CN185" s="8">
        <v>91</v>
      </c>
      <c r="CO185" s="49">
        <v>0.05</v>
      </c>
      <c r="CP185" s="17">
        <v>-4.2520442175735702E-3</v>
      </c>
      <c r="CQ185" s="17">
        <v>9.8864943899182722E-3</v>
      </c>
      <c r="CR185" s="17">
        <v>4.2189434690544099E-2</v>
      </c>
      <c r="CS185" s="16">
        <f t="shared" si="45"/>
        <v>9.7823884862888816E-2</v>
      </c>
    </row>
    <row r="186" spans="1:97" x14ac:dyDescent="0.45">
      <c r="A186" s="7"/>
      <c r="B186" s="57"/>
      <c r="C186" s="17"/>
      <c r="D186" s="17"/>
      <c r="E186" s="17"/>
      <c r="G186" s="18"/>
      <c r="H186" s="18"/>
      <c r="I186" s="44"/>
      <c r="J186" s="17"/>
      <c r="K186" s="28"/>
      <c r="CK186" s="29"/>
      <c r="CN186" s="8">
        <v>91.5</v>
      </c>
      <c r="CO186" s="49">
        <v>0.05</v>
      </c>
      <c r="CP186" s="17">
        <v>-4.2295127697412945E-3</v>
      </c>
      <c r="CQ186" s="17">
        <v>9.8411413778987031E-3</v>
      </c>
      <c r="CR186" s="17">
        <v>4.2144864664473057E-2</v>
      </c>
      <c r="CS186" s="16">
        <f t="shared" si="45"/>
        <v>9.7756493272630474E-2</v>
      </c>
    </row>
    <row r="187" spans="1:97" x14ac:dyDescent="0.45">
      <c r="A187" s="7"/>
      <c r="B187" s="57"/>
      <c r="C187" s="17"/>
      <c r="D187" s="17"/>
      <c r="E187" s="17"/>
      <c r="G187" s="18"/>
      <c r="H187" s="18"/>
      <c r="I187" s="44"/>
      <c r="J187" s="17"/>
      <c r="K187" s="28"/>
      <c r="CK187" s="29"/>
      <c r="CN187" s="8">
        <v>92</v>
      </c>
      <c r="CO187" s="49">
        <v>0.05</v>
      </c>
      <c r="CP187" s="17">
        <v>-4.207206803051998E-3</v>
      </c>
      <c r="CQ187" s="17">
        <v>9.7960879208657606E-3</v>
      </c>
      <c r="CR187" s="17">
        <v>4.2099501976797606E-2</v>
      </c>
      <c r="CS187" s="16">
        <f t="shared" si="45"/>
        <v>9.7688383094611364E-2</v>
      </c>
    </row>
    <row r="188" spans="1:97" x14ac:dyDescent="0.45">
      <c r="A188" s="7"/>
      <c r="B188" s="57"/>
      <c r="C188" s="17"/>
      <c r="D188" s="17"/>
      <c r="E188" s="17"/>
      <c r="G188" s="18"/>
      <c r="H188" s="18"/>
      <c r="I188" s="44"/>
      <c r="J188" s="17"/>
      <c r="K188" s="28"/>
      <c r="CK188" s="29"/>
      <c r="CN188" s="8">
        <v>92.5</v>
      </c>
      <c r="CO188" s="49">
        <v>0.05</v>
      </c>
      <c r="CP188" s="17">
        <v>-4.1851231972790176E-3</v>
      </c>
      <c r="CQ188" s="17">
        <v>9.7513332317714016E-3</v>
      </c>
      <c r="CR188" s="17">
        <v>4.2053362863781189E-2</v>
      </c>
      <c r="CS188" s="16">
        <f t="shared" si="45"/>
        <v>9.7619572898273582E-2</v>
      </c>
    </row>
    <row r="189" spans="1:97" x14ac:dyDescent="0.45">
      <c r="A189" s="7"/>
      <c r="B189" s="57"/>
      <c r="C189" s="17"/>
      <c r="D189" s="17"/>
      <c r="E189" s="17"/>
      <c r="G189" s="18"/>
      <c r="H189" s="18"/>
      <c r="I189" s="44"/>
      <c r="J189" s="17"/>
      <c r="K189" s="28"/>
      <c r="CK189" s="29"/>
      <c r="CN189" s="8">
        <v>93</v>
      </c>
      <c r="CO189" s="49">
        <v>0.05</v>
      </c>
      <c r="CP189" s="17">
        <v>-4.1632588844951971E-3</v>
      </c>
      <c r="CQ189" s="17">
        <v>9.7068764631369625E-3</v>
      </c>
      <c r="CR189" s="17">
        <v>4.2006463321308724E-2</v>
      </c>
      <c r="CS189" s="16">
        <f t="shared" si="45"/>
        <v>9.7550080899950486E-2</v>
      </c>
    </row>
    <row r="190" spans="1:97" x14ac:dyDescent="0.45">
      <c r="A190" s="7"/>
      <c r="B190" s="57"/>
      <c r="C190" s="17"/>
      <c r="D190" s="17"/>
      <c r="E190" s="17"/>
      <c r="G190" s="18"/>
      <c r="H190" s="18"/>
      <c r="I190" s="44"/>
      <c r="J190" s="17"/>
      <c r="K190" s="28"/>
      <c r="CK190" s="29"/>
      <c r="CN190" s="8">
        <v>93.5</v>
      </c>
      <c r="CO190" s="49">
        <v>0.05</v>
      </c>
      <c r="CP190" s="17">
        <v>-4.1416108480831172E-3</v>
      </c>
      <c r="CQ190" s="17">
        <v>9.662716709837909E-3</v>
      </c>
      <c r="CR190" s="17">
        <v>4.1958819108140762E-2</v>
      </c>
      <c r="CS190" s="16">
        <f t="shared" si="45"/>
        <v>9.7479924969895548E-2</v>
      </c>
    </row>
    <row r="191" spans="1:97" x14ac:dyDescent="0.45">
      <c r="A191" s="7"/>
      <c r="B191" s="57"/>
      <c r="C191" s="17"/>
      <c r="D191" s="17"/>
      <c r="E191" s="17"/>
      <c r="G191" s="18"/>
      <c r="H191" s="18"/>
      <c r="I191" s="44"/>
      <c r="J191" s="17"/>
      <c r="K191" s="28"/>
      <c r="CK191" s="29"/>
      <c r="CN191" s="8">
        <v>94</v>
      </c>
      <c r="CO191" s="49">
        <v>0.05</v>
      </c>
      <c r="CP191" s="17">
        <v>-4.120176121765645E-3</v>
      </c>
      <c r="CQ191" s="17">
        <v>9.6188530117941543E-3</v>
      </c>
      <c r="CR191" s="17">
        <v>4.191044574912503E-2</v>
      </c>
      <c r="CS191" s="16">
        <f t="shared" si="45"/>
        <v>9.740912263915355E-2</v>
      </c>
    </row>
    <row r="192" spans="1:97" x14ac:dyDescent="0.45">
      <c r="A192" s="7"/>
      <c r="B192" s="57"/>
      <c r="C192" s="17"/>
      <c r="D192" s="17"/>
      <c r="E192" s="17"/>
      <c r="G192" s="18"/>
      <c r="H192" s="18"/>
      <c r="I192" s="44"/>
      <c r="J192" s="17"/>
      <c r="K192" s="28"/>
      <c r="CK192" s="29"/>
      <c r="CN192" s="8">
        <v>94.5</v>
      </c>
      <c r="CO192" s="49">
        <v>0.05</v>
      </c>
      <c r="CP192" s="17">
        <v>-4.0989517886563355E-3</v>
      </c>
      <c r="CQ192" s="17">
        <v>9.5752843565688125E-3</v>
      </c>
      <c r="CR192" s="17">
        <v>4.1861358538366387E-2</v>
      </c>
      <c r="CS192" s="16">
        <f t="shared" si="45"/>
        <v>9.7337691106278865E-2</v>
      </c>
    </row>
    <row r="193" spans="1:97" x14ac:dyDescent="0.45">
      <c r="A193" s="7"/>
      <c r="B193" s="57"/>
      <c r="C193" s="17"/>
      <c r="D193" s="17"/>
      <c r="E193" s="17"/>
      <c r="G193" s="18"/>
      <c r="H193" s="18"/>
      <c r="I193" s="44"/>
      <c r="J193" s="17"/>
      <c r="K193" s="28"/>
      <c r="CK193" s="29"/>
      <c r="CN193" s="8">
        <v>95</v>
      </c>
      <c r="CO193" s="49">
        <v>0.05</v>
      </c>
      <c r="CP193" s="17">
        <v>-4.0779349803292788E-3</v>
      </c>
      <c r="CQ193" s="17">
        <v>9.5320096818782337E-3</v>
      </c>
      <c r="CR193" s="17">
        <v>4.1811572542355173E-2</v>
      </c>
      <c r="CS193" s="16">
        <f t="shared" si="45"/>
        <v>9.726564724390413E-2</v>
      </c>
    </row>
    <row r="194" spans="1:97" x14ac:dyDescent="0.45">
      <c r="A194" s="7"/>
      <c r="B194" s="57"/>
      <c r="C194" s="17"/>
      <c r="D194" s="17"/>
      <c r="E194" s="17"/>
      <c r="G194" s="18"/>
      <c r="H194" s="18"/>
      <c r="I194" s="44"/>
      <c r="J194" s="17"/>
      <c r="K194" s="28"/>
      <c r="CK194" s="29"/>
      <c r="CN194" s="8">
        <v>95.5</v>
      </c>
      <c r="CO194" s="49">
        <v>0.05</v>
      </c>
      <c r="CP194" s="17">
        <v>-4.0571228759079614E-3</v>
      </c>
      <c r="CQ194" s="17">
        <v>9.4890278780160649E-3</v>
      </c>
      <c r="CR194" s="17">
        <v>4.1761102603054795E-2</v>
      </c>
      <c r="CS194" s="16">
        <f t="shared" si="45"/>
        <v>9.7193007605162904E-2</v>
      </c>
    </row>
    <row r="195" spans="1:97" x14ac:dyDescent="0.45">
      <c r="A195" s="7"/>
      <c r="B195" s="57"/>
      <c r="C195" s="17"/>
      <c r="D195" s="17"/>
      <c r="E195" s="17"/>
      <c r="G195" s="18"/>
      <c r="H195" s="18"/>
      <c r="I195" s="44"/>
      <c r="J195" s="17"/>
      <c r="K195" s="28"/>
      <c r="CK195" s="29"/>
      <c r="CN195" s="8">
        <v>96</v>
      </c>
      <c r="CO195" s="49">
        <v>0.05</v>
      </c>
      <c r="CP195" s="17">
        <v>-4.0365127011727318E-3</v>
      </c>
      <c r="CQ195" s="17">
        <v>9.4463377901940048E-3</v>
      </c>
      <c r="CR195" s="17">
        <v>4.1709963340949126E-2</v>
      </c>
      <c r="CS195" s="16">
        <f t="shared" si="45"/>
        <v>9.7119788429970405E-2</v>
      </c>
    </row>
    <row r="196" spans="1:97" x14ac:dyDescent="0.45">
      <c r="A196" s="7"/>
      <c r="B196" s="57"/>
      <c r="C196" s="17"/>
      <c r="D196" s="17"/>
      <c r="E196" s="17"/>
      <c r="G196" s="18"/>
      <c r="H196" s="18"/>
      <c r="I196" s="44"/>
      <c r="J196" s="17"/>
      <c r="K196" s="28"/>
      <c r="CK196" s="29"/>
      <c r="CN196" s="8">
        <v>96.5</v>
      </c>
      <c r="CO196" s="49">
        <v>0.05</v>
      </c>
      <c r="CP196" s="17">
        <v>-4.0161017276864651E-3</v>
      </c>
      <c r="CQ196" s="17">
        <v>9.4039382208018288E-3</v>
      </c>
      <c r="CR196" s="17">
        <v>4.1658169158049936E-2</v>
      </c>
      <c r="CS196" s="16">
        <f t="shared" si="45"/>
        <v>9.7046005651165307E-2</v>
      </c>
    </row>
    <row r="197" spans="1:97" x14ac:dyDescent="0.45">
      <c r="A197" s="7"/>
      <c r="B197" s="57"/>
      <c r="C197" s="17"/>
      <c r="D197" s="17"/>
      <c r="E197" s="17"/>
      <c r="G197" s="18"/>
      <c r="H197" s="18"/>
      <c r="I197" s="44"/>
      <c r="J197" s="17"/>
      <c r="K197" s="28"/>
      <c r="CK197" s="29"/>
      <c r="CN197" s="8">
        <v>97</v>
      </c>
      <c r="CO197" s="49">
        <v>0.05</v>
      </c>
      <c r="CP197" s="17">
        <v>-3.9958872719380372E-3</v>
      </c>
      <c r="CQ197" s="17">
        <v>9.3618279315892169E-3</v>
      </c>
      <c r="CR197" s="17">
        <v>4.1605734240865215E-2</v>
      </c>
      <c r="CS197" s="16">
        <f t="shared" si="45"/>
        <v>9.6971674900516391E-2</v>
      </c>
    </row>
    <row r="198" spans="1:97" x14ac:dyDescent="0.45">
      <c r="A198" s="7"/>
      <c r="B198" s="57"/>
      <c r="C198" s="17"/>
      <c r="D198" s="17"/>
      <c r="E198" s="17"/>
      <c r="G198" s="18"/>
      <c r="H198" s="18"/>
      <c r="I198" s="44"/>
      <c r="J198" s="17"/>
      <c r="K198" s="28"/>
      <c r="CK198" s="29"/>
      <c r="CN198" s="8">
        <v>97.5</v>
      </c>
      <c r="CO198" s="49">
        <v>0.05</v>
      </c>
      <c r="CP198" s="17">
        <v>-3.9758666945032264E-3</v>
      </c>
      <c r="CQ198" s="17">
        <v>9.3200056457717773E-3</v>
      </c>
      <c r="CR198" s="17">
        <v>4.1552672563328563E-2</v>
      </c>
      <c r="CS198" s="16">
        <f t="shared" ref="CS198:CS261" si="46">SUM(CO198:CR198)</f>
        <v>9.6896811514597114E-2</v>
      </c>
    </row>
    <row r="199" spans="1:97" x14ac:dyDescent="0.45">
      <c r="A199" s="7"/>
      <c r="B199" s="57"/>
      <c r="C199" s="17"/>
      <c r="D199" s="17"/>
      <c r="E199" s="17"/>
      <c r="G199" s="18"/>
      <c r="H199" s="18"/>
      <c r="I199" s="44"/>
      <c r="J199" s="17"/>
      <c r="K199" s="28"/>
      <c r="CK199" s="29"/>
      <c r="CN199" s="8">
        <v>98</v>
      </c>
      <c r="CO199" s="49">
        <v>0.05</v>
      </c>
      <c r="CP199" s="17">
        <v>-3.9560373992226575E-3</v>
      </c>
      <c r="CQ199" s="17">
        <v>9.2784700500636742E-3</v>
      </c>
      <c r="CR199" s="17">
        <v>4.149899788969047E-2</v>
      </c>
      <c r="CS199" s="16">
        <f t="shared" si="46"/>
        <v>9.6821430540531495E-2</v>
      </c>
    </row>
    <row r="200" spans="1:97" x14ac:dyDescent="0.45">
      <c r="A200" s="7"/>
      <c r="B200" s="57"/>
      <c r="C200" s="17"/>
      <c r="D200" s="17"/>
      <c r="E200" s="17"/>
      <c r="G200" s="18"/>
      <c r="H200" s="18"/>
      <c r="I200" s="44"/>
      <c r="J200" s="17"/>
      <c r="K200" s="28"/>
      <c r="CK200" s="29"/>
      <c r="CN200" s="8">
        <v>98.5</v>
      </c>
      <c r="CO200" s="49">
        <v>0.05</v>
      </c>
      <c r="CP200" s="17">
        <v>-3.9363968323964322E-3</v>
      </c>
      <c r="CQ200" s="17">
        <v>9.237219796639112E-3</v>
      </c>
      <c r="CR200" s="17">
        <v>4.1444723777371649E-2</v>
      </c>
      <c r="CS200" s="16">
        <f t="shared" si="46"/>
        <v>9.6745546741614341E-2</v>
      </c>
    </row>
    <row r="201" spans="1:97" x14ac:dyDescent="0.45">
      <c r="A201" s="7"/>
      <c r="B201" s="57"/>
      <c r="C201" s="17"/>
      <c r="D201" s="17"/>
      <c r="E201" s="17"/>
      <c r="G201" s="18"/>
      <c r="H201" s="18"/>
      <c r="I201" s="44"/>
      <c r="J201" s="17"/>
      <c r="K201" s="28"/>
      <c r="CK201" s="29"/>
      <c r="CN201" s="8">
        <v>99</v>
      </c>
      <c r="CO201" s="49">
        <v>0.05</v>
      </c>
      <c r="CP201" s="17">
        <v>-3.9169424819950824E-3</v>
      </c>
      <c r="CQ201" s="17">
        <v>9.1962535050249365E-3</v>
      </c>
      <c r="CR201" s="17">
        <v>4.1389863579779161E-2</v>
      </c>
      <c r="CS201" s="16">
        <f t="shared" si="46"/>
        <v>9.6669174602809022E-2</v>
      </c>
    </row>
    <row r="202" spans="1:97" x14ac:dyDescent="0.45">
      <c r="A202" s="7"/>
      <c r="B202" s="57"/>
      <c r="C202" s="17"/>
      <c r="D202" s="17"/>
      <c r="E202" s="17"/>
      <c r="G202" s="18"/>
      <c r="H202" s="18"/>
      <c r="I202" s="44"/>
      <c r="J202" s="17"/>
      <c r="K202" s="28"/>
      <c r="CK202" s="29"/>
      <c r="CN202" s="8">
        <v>99.5</v>
      </c>
      <c r="CO202" s="49">
        <v>0.05</v>
      </c>
      <c r="CP202" s="17">
        <v>-3.8976718768864854E-3</v>
      </c>
      <c r="CQ202" s="17">
        <v>9.1555697639264712E-3</v>
      </c>
      <c r="CR202" s="17">
        <v>4.1334430449085684E-2</v>
      </c>
      <c r="CS202" s="16">
        <f t="shared" si="46"/>
        <v>9.6592328336125674E-2</v>
      </c>
    </row>
    <row r="203" spans="1:97" x14ac:dyDescent="0.45">
      <c r="A203" s="7"/>
      <c r="B203" s="57"/>
      <c r="C203" s="17"/>
      <c r="D203" s="17"/>
      <c r="E203" s="17"/>
      <c r="G203" s="18"/>
      <c r="H203" s="18"/>
      <c r="I203" s="44"/>
      <c r="J203" s="17"/>
      <c r="K203" s="28"/>
      <c r="CK203" s="29"/>
      <c r="CN203" s="8">
        <v>100</v>
      </c>
      <c r="CO203" s="49">
        <v>0.05</v>
      </c>
      <c r="CP203" s="17">
        <v>-3.8785825860784186E-3</v>
      </c>
      <c r="CQ203" s="17">
        <v>9.1151671329887073E-3</v>
      </c>
      <c r="CR203" s="17">
        <v>4.1278437338972455E-2</v>
      </c>
      <c r="CS203" s="16">
        <f t="shared" si="46"/>
        <v>9.6515021885882735E-2</v>
      </c>
    </row>
    <row r="204" spans="1:97" x14ac:dyDescent="0.45">
      <c r="A204" s="7"/>
      <c r="B204" s="57"/>
      <c r="C204" s="17"/>
      <c r="D204" s="17"/>
      <c r="E204" s="17"/>
      <c r="G204" s="18"/>
      <c r="H204" s="18"/>
      <c r="I204" s="44"/>
      <c r="J204" s="17"/>
      <c r="K204" s="28"/>
      <c r="CK204" s="29"/>
      <c r="CN204" s="8">
        <v>100.5</v>
      </c>
      <c r="CO204" s="49">
        <v>0.05</v>
      </c>
      <c r="CP204" s="17">
        <v>-3.8596722179764032E-3</v>
      </c>
      <c r="CQ204" s="17">
        <v>9.0750441444948805E-3</v>
      </c>
      <c r="CR204" s="17">
        <v>4.1221897007336285E-2</v>
      </c>
      <c r="CS204" s="16">
        <f t="shared" si="46"/>
        <v>9.6437268933854764E-2</v>
      </c>
    </row>
    <row r="205" spans="1:97" x14ac:dyDescent="0.45">
      <c r="A205" s="7"/>
      <c r="B205" s="57"/>
      <c r="C205" s="17"/>
      <c r="D205" s="17"/>
      <c r="E205" s="17"/>
      <c r="G205" s="18"/>
      <c r="H205" s="18"/>
      <c r="I205" s="44"/>
      <c r="J205" s="17"/>
      <c r="K205" s="28"/>
      <c r="CK205" s="29"/>
      <c r="CN205" s="8">
        <v>101</v>
      </c>
      <c r="CO205" s="49">
        <v>0.05</v>
      </c>
      <c r="CP205" s="17">
        <v>-3.8409384196565091E-3</v>
      </c>
      <c r="CQ205" s="17">
        <v>9.0351993050043784E-3</v>
      </c>
      <c r="CR205" s="17">
        <v>4.1164822018961142E-2</v>
      </c>
      <c r="CS205" s="16">
        <f t="shared" si="46"/>
        <v>9.6359082904309015E-2</v>
      </c>
    </row>
    <row r="206" spans="1:97" x14ac:dyDescent="0.45">
      <c r="A206" s="7"/>
      <c r="B206" s="57"/>
      <c r="C206" s="17"/>
      <c r="D206" s="17"/>
      <c r="E206" s="17"/>
      <c r="G206" s="18"/>
      <c r="H206" s="18"/>
      <c r="I206" s="44"/>
      <c r="J206" s="17"/>
      <c r="K206" s="28"/>
      <c r="CK206" s="29"/>
      <c r="CN206" s="8">
        <v>101.5</v>
      </c>
      <c r="CO206" s="49">
        <v>0.05</v>
      </c>
      <c r="CP206" s="17">
        <v>-3.822378876152807E-3</v>
      </c>
      <c r="CQ206" s="17">
        <v>8.9956310969319178E-3</v>
      </c>
      <c r="CR206" s="17">
        <v>4.1107224748154814E-2</v>
      </c>
      <c r="CS206" s="16">
        <f t="shared" si="46"/>
        <v>9.6280476968933937E-2</v>
      </c>
    </row>
    <row r="207" spans="1:97" x14ac:dyDescent="0.45">
      <c r="A207" s="7"/>
      <c r="B207" s="57"/>
      <c r="C207" s="17"/>
      <c r="D207" s="17"/>
      <c r="E207" s="17"/>
      <c r="G207" s="18"/>
      <c r="H207" s="18"/>
      <c r="I207" s="44"/>
      <c r="J207" s="17"/>
      <c r="K207" s="28"/>
      <c r="CK207" s="29"/>
      <c r="CN207" s="8">
        <v>102</v>
      </c>
      <c r="CO207" s="49">
        <v>0.05</v>
      </c>
      <c r="CP207" s="17">
        <v>-3.803991309759155E-3</v>
      </c>
      <c r="CQ207" s="17">
        <v>8.956337980069836E-3</v>
      </c>
      <c r="CR207" s="17">
        <v>4.104911738135103E-2</v>
      </c>
      <c r="CS207" s="16">
        <f t="shared" si="46"/>
        <v>9.6201464051661717E-2</v>
      </c>
    </row>
    <row r="208" spans="1:97" x14ac:dyDescent="0.45">
      <c r="A208" s="7"/>
      <c r="B208" s="57"/>
      <c r="C208" s="17"/>
      <c r="D208" s="17"/>
      <c r="E208" s="17"/>
      <c r="G208" s="18"/>
      <c r="H208" s="18"/>
      <c r="I208" s="44"/>
      <c r="J208" s="17"/>
      <c r="K208" s="28"/>
      <c r="CK208" s="29"/>
      <c r="CN208" s="8">
        <v>102.5</v>
      </c>
      <c r="CO208" s="49">
        <v>0.05</v>
      </c>
      <c r="CP208" s="17">
        <v>-3.7857734793450026E-3</v>
      </c>
      <c r="CQ208" s="17">
        <v>8.917318393055278E-3</v>
      </c>
      <c r="CR208" s="17">
        <v>4.0990511919677404E-2</v>
      </c>
      <c r="CS208" s="16">
        <f t="shared" si="46"/>
        <v>9.6122056833387676E-2</v>
      </c>
    </row>
    <row r="209" spans="1:97" x14ac:dyDescent="0.45">
      <c r="A209" s="7"/>
      <c r="B209" s="57"/>
      <c r="C209" s="17"/>
      <c r="D209" s="17"/>
      <c r="E209" s="17"/>
      <c r="G209" s="18"/>
      <c r="H209" s="18"/>
      <c r="I209" s="44"/>
      <c r="J209" s="17"/>
      <c r="K209" s="28"/>
      <c r="CK209" s="29"/>
      <c r="CN209" s="8">
        <v>103</v>
      </c>
      <c r="CO209" s="49">
        <v>0.05</v>
      </c>
      <c r="CP209" s="17">
        <v>-3.7677231796849242E-3</v>
      </c>
      <c r="CQ209" s="17">
        <v>8.8785707547840379E-3</v>
      </c>
      <c r="CR209" s="17">
        <v>4.0931420181489923E-2</v>
      </c>
      <c r="CS209" s="16">
        <f t="shared" si="46"/>
        <v>9.6042267756589028E-2</v>
      </c>
    </row>
    <row r="210" spans="1:97" x14ac:dyDescent="0.45">
      <c r="A210" s="7"/>
      <c r="B210" s="57"/>
      <c r="C210" s="17"/>
      <c r="D210" s="17"/>
      <c r="E210" s="17"/>
      <c r="G210" s="18"/>
      <c r="H210" s="18"/>
      <c r="I210" s="44"/>
      <c r="J210" s="17"/>
      <c r="K210" s="28"/>
      <c r="CK210" s="29"/>
      <c r="CN210" s="8">
        <v>103.5</v>
      </c>
      <c r="CO210" s="49">
        <v>0.05</v>
      </c>
      <c r="CP210" s="17">
        <v>-3.7498382408015893E-3</v>
      </c>
      <c r="CQ210" s="17">
        <v>8.8400934657727765E-3</v>
      </c>
      <c r="CR210" s="17">
        <v>4.0871853804873987E-2</v>
      </c>
      <c r="CS210" s="16">
        <f t="shared" si="46"/>
        <v>9.5962109029845172E-2</v>
      </c>
    </row>
    <row r="211" spans="1:97" x14ac:dyDescent="0.45">
      <c r="A211" s="7"/>
      <c r="B211" s="57"/>
      <c r="C211" s="17"/>
      <c r="D211" s="17"/>
      <c r="E211" s="17"/>
      <c r="G211" s="18"/>
      <c r="H211" s="18"/>
      <c r="I211" s="44"/>
      <c r="J211" s="17"/>
      <c r="K211" s="28"/>
      <c r="CK211" s="29"/>
      <c r="CN211" s="8">
        <v>104</v>
      </c>
      <c r="CO211" s="49">
        <v>0.05</v>
      </c>
      <c r="CP211" s="17">
        <v>-3.7321165273218669E-3</v>
      </c>
      <c r="CQ211" s="17">
        <v>8.8018849094711783E-3</v>
      </c>
      <c r="CR211" s="17">
        <v>4.0811824250112899E-2</v>
      </c>
      <c r="CS211" s="16">
        <f t="shared" si="46"/>
        <v>9.5881592632262216E-2</v>
      </c>
    </row>
    <row r="212" spans="1:97" x14ac:dyDescent="0.45">
      <c r="A212" s="7"/>
      <c r="B212" s="57"/>
      <c r="C212" s="17"/>
      <c r="D212" s="17"/>
      <c r="E212" s="17"/>
      <c r="G212" s="18"/>
      <c r="H212" s="18"/>
      <c r="I212" s="44"/>
      <c r="J212" s="17"/>
      <c r="K212" s="28"/>
      <c r="CK212" s="29"/>
      <c r="CN212" s="8">
        <v>104.5</v>
      </c>
      <c r="CO212" s="49">
        <v>0.05</v>
      </c>
      <c r="CP212" s="17">
        <v>-3.7145559378458093E-3</v>
      </c>
      <c r="CQ212" s="17">
        <v>8.7639434535257254E-3</v>
      </c>
      <c r="CR212" s="17">
        <v>4.075134280212378E-2</v>
      </c>
      <c r="CS212" s="16">
        <f t="shared" si="46"/>
        <v>9.5800730317803701E-2</v>
      </c>
    </row>
    <row r="213" spans="1:97" x14ac:dyDescent="0.45">
      <c r="A213" s="7"/>
      <c r="B213" s="57"/>
      <c r="C213" s="17"/>
      <c r="D213" s="17"/>
      <c r="E213" s="17"/>
      <c r="G213" s="18"/>
      <c r="H213" s="18"/>
      <c r="I213" s="44"/>
      <c r="J213" s="17"/>
      <c r="K213" s="28"/>
      <c r="CK213" s="29"/>
      <c r="CN213" s="8">
        <v>105</v>
      </c>
      <c r="CO213" s="49">
        <v>0.05</v>
      </c>
      <c r="CP213" s="17">
        <v>-3.6971544043282174E-3</v>
      </c>
      <c r="CQ213" s="17">
        <v>8.7262674509965745E-3</v>
      </c>
      <c r="CR213" s="17">
        <v>4.0690420572861707E-2</v>
      </c>
      <c r="CS213" s="16">
        <f t="shared" si="46"/>
        <v>9.5719533619530062E-2</v>
      </c>
    </row>
    <row r="214" spans="1:97" x14ac:dyDescent="0.45">
      <c r="A214" s="7"/>
      <c r="B214" s="57"/>
      <c r="C214" s="17"/>
      <c r="D214" s="17"/>
      <c r="E214" s="17"/>
      <c r="G214" s="18"/>
      <c r="H214" s="18"/>
      <c r="I214" s="44"/>
      <c r="J214" s="17"/>
      <c r="K214" s="28"/>
      <c r="CK214" s="29"/>
      <c r="CN214" s="8">
        <v>105.5</v>
      </c>
      <c r="CO214" s="49">
        <v>0.05</v>
      </c>
      <c r="CP214" s="17">
        <v>-3.6799098914725411E-3</v>
      </c>
      <c r="CQ214" s="17">
        <v>8.688855241529056E-3</v>
      </c>
      <c r="CR214" s="17">
        <v>4.0629068503692148E-2</v>
      </c>
      <c r="CS214" s="16">
        <f t="shared" si="46"/>
        <v>9.5638013853748663E-2</v>
      </c>
    </row>
    <row r="215" spans="1:97" x14ac:dyDescent="0.45">
      <c r="A215" s="7"/>
      <c r="B215" s="57"/>
      <c r="C215" s="17"/>
      <c r="D215" s="17"/>
      <c r="E215" s="17"/>
      <c r="G215" s="18"/>
      <c r="H215" s="18"/>
      <c r="I215" s="44"/>
      <c r="J215" s="17"/>
      <c r="K215" s="28"/>
      <c r="CK215" s="29"/>
      <c r="CN215" s="8">
        <v>106</v>
      </c>
      <c r="CO215" s="49">
        <v>0.05</v>
      </c>
      <c r="CP215" s="17">
        <v>-3.6628203961368319E-3</v>
      </c>
      <c r="CQ215" s="17">
        <v>8.6517051524812559E-3</v>
      </c>
      <c r="CR215" s="17">
        <v>4.0567297367732388E-2</v>
      </c>
      <c r="CS215" s="16">
        <f t="shared" si="46"/>
        <v>9.5556182124076822E-2</v>
      </c>
    </row>
    <row r="216" spans="1:97" x14ac:dyDescent="0.45">
      <c r="A216" s="7"/>
      <c r="B216" s="57"/>
      <c r="C216" s="17"/>
      <c r="D216" s="17"/>
      <c r="E216" s="17"/>
      <c r="G216" s="18"/>
      <c r="H216" s="18"/>
      <c r="I216" s="44"/>
      <c r="J216" s="17"/>
      <c r="K216" s="28"/>
      <c r="CK216" s="29"/>
      <c r="CN216" s="8">
        <v>106.5</v>
      </c>
      <c r="CO216" s="49">
        <v>0.05</v>
      </c>
      <c r="CP216" s="17">
        <v>-3.6458839467515131E-3</v>
      </c>
      <c r="CQ216" s="17">
        <v>8.6148155000090633E-3</v>
      </c>
      <c r="CR216" s="17">
        <v>4.0505117772162161E-2</v>
      </c>
      <c r="CS216" s="16">
        <f t="shared" si="46"/>
        <v>9.547404932541971E-2</v>
      </c>
    </row>
    <row r="217" spans="1:97" x14ac:dyDescent="0.45">
      <c r="A217" s="7"/>
      <c r="B217" s="57"/>
      <c r="C217" s="17"/>
      <c r="D217" s="17"/>
      <c r="E217" s="17"/>
      <c r="G217" s="18"/>
      <c r="H217" s="18"/>
      <c r="I217" s="44"/>
      <c r="J217" s="17"/>
      <c r="K217" s="28"/>
      <c r="CK217" s="29"/>
      <c r="CN217" s="8">
        <v>107</v>
      </c>
      <c r="CO217" s="49">
        <v>0.05</v>
      </c>
      <c r="CP217" s="17">
        <v>-3.6290986027487011E-3</v>
      </c>
      <c r="CQ217" s="17">
        <v>8.578184590110078E-3</v>
      </c>
      <c r="CR217" s="17">
        <v>4.0442540160503963E-2</v>
      </c>
      <c r="CS217" s="16">
        <f t="shared" si="46"/>
        <v>9.5391626147865338E-2</v>
      </c>
    </row>
    <row r="218" spans="1:97" x14ac:dyDescent="0.45">
      <c r="A218" s="7"/>
      <c r="B218" s="57"/>
      <c r="C218" s="17"/>
      <c r="D218" s="17"/>
      <c r="E218" s="17"/>
      <c r="G218" s="18"/>
      <c r="H218" s="18"/>
      <c r="I218" s="44"/>
      <c r="J218" s="17"/>
      <c r="K218" s="28"/>
      <c r="CK218" s="29"/>
      <c r="CN218" s="8">
        <v>107.5</v>
      </c>
      <c r="CO218" s="49">
        <v>0.05</v>
      </c>
      <c r="CP218" s="17">
        <v>-3.6124624540028417E-3</v>
      </c>
      <c r="CQ218" s="17">
        <v>8.5418107196276825E-3</v>
      </c>
      <c r="CR218" s="17">
        <v>4.0379574814873337E-2</v>
      </c>
      <c r="CS218" s="16">
        <f t="shared" si="46"/>
        <v>9.5308923080498181E-2</v>
      </c>
    </row>
    <row r="219" spans="1:97" x14ac:dyDescent="0.45">
      <c r="A219" s="7"/>
      <c r="B219" s="57"/>
      <c r="C219" s="17"/>
      <c r="D219" s="17"/>
      <c r="E219" s="17"/>
      <c r="G219" s="18"/>
      <c r="H219" s="18"/>
      <c r="I219" s="44"/>
      <c r="J219" s="17"/>
      <c r="K219" s="28"/>
      <c r="CK219" s="29"/>
      <c r="CN219" s="8">
        <v>108</v>
      </c>
      <c r="CO219" s="49">
        <v>0.05</v>
      </c>
      <c r="CP219" s="17">
        <v>-3.5959736202824184E-3</v>
      </c>
      <c r="CQ219" s="17">
        <v>8.5056921772165735E-3</v>
      </c>
      <c r="CR219" s="17">
        <v>4.0316231858199748E-2</v>
      </c>
      <c r="CS219" s="16">
        <f t="shared" si="46"/>
        <v>9.5225950415133903E-2</v>
      </c>
    </row>
    <row r="220" spans="1:97" x14ac:dyDescent="0.45">
      <c r="A220" s="7"/>
      <c r="B220" s="57"/>
      <c r="C220" s="17"/>
      <c r="D220" s="17"/>
      <c r="E220" s="17"/>
      <c r="G220" s="18"/>
      <c r="H220" s="18"/>
      <c r="I220" s="44"/>
      <c r="J220" s="17"/>
      <c r="K220" s="28"/>
      <c r="CK220" s="29"/>
      <c r="CN220" s="8">
        <v>108.5</v>
      </c>
      <c r="CO220" s="49">
        <v>0.05</v>
      </c>
      <c r="CP220" s="17">
        <v>-3.5796302507125036E-3</v>
      </c>
      <c r="CQ220" s="17">
        <v>8.4698272442709933E-3</v>
      </c>
      <c r="CR220" s="17">
        <v>4.0252521256418067E-2</v>
      </c>
      <c r="CS220" s="16">
        <f t="shared" si="46"/>
        <v>9.5142718249976554E-2</v>
      </c>
    </row>
    <row r="221" spans="1:97" x14ac:dyDescent="0.45">
      <c r="A221" s="7"/>
      <c r="B221" s="57"/>
      <c r="C221" s="17"/>
      <c r="D221" s="17"/>
      <c r="E221" s="17"/>
      <c r="G221" s="18"/>
      <c r="H221" s="18"/>
      <c r="I221" s="44"/>
      <c r="J221" s="17"/>
      <c r="K221" s="28"/>
      <c r="CK221" s="29"/>
      <c r="CN221" s="8">
        <v>109</v>
      </c>
      <c r="CO221" s="49">
        <v>0.05</v>
      </c>
      <c r="CP221" s="17">
        <v>-3.5634305232479157E-3</v>
      </c>
      <c r="CQ221" s="17">
        <v>8.4342141958168772E-3</v>
      </c>
      <c r="CR221" s="17">
        <v>4.0188452820631444E-2</v>
      </c>
      <c r="CS221" s="16">
        <f t="shared" si="46"/>
        <v>9.5059236493200416E-2</v>
      </c>
    </row>
    <row r="222" spans="1:97" x14ac:dyDescent="0.45">
      <c r="A222" s="7"/>
      <c r="B222" s="57"/>
      <c r="C222" s="17"/>
      <c r="D222" s="17"/>
      <c r="E222" s="17"/>
      <c r="G222" s="18"/>
      <c r="H222" s="18"/>
      <c r="I222" s="44"/>
      <c r="J222" s="17"/>
      <c r="K222" s="28"/>
      <c r="CK222" s="29"/>
      <c r="CN222" s="8">
        <v>109.5</v>
      </c>
      <c r="CO222" s="49">
        <v>0.05</v>
      </c>
      <c r="CP222" s="17">
        <v>-3.5473726441567701E-3</v>
      </c>
      <c r="CQ222" s="17">
        <v>8.3988513013690796E-3</v>
      </c>
      <c r="CR222" s="17">
        <v>4.0124036209245588E-2</v>
      </c>
      <c r="CS222" s="16">
        <f t="shared" si="46"/>
        <v>9.4975514866457902E-2</v>
      </c>
    </row>
    <row r="223" spans="1:97" x14ac:dyDescent="0.45">
      <c r="A223" s="7"/>
      <c r="B223" s="57"/>
      <c r="C223" s="17"/>
      <c r="D223" s="17"/>
      <c r="E223" s="17"/>
      <c r="G223" s="18"/>
      <c r="H223" s="18"/>
      <c r="I223" s="44"/>
      <c r="J223" s="17"/>
      <c r="K223" s="28"/>
      <c r="CK223" s="29"/>
      <c r="CN223" s="8">
        <v>110</v>
      </c>
      <c r="CO223" s="49">
        <v>0.05</v>
      </c>
      <c r="CP223" s="17">
        <v>-3.5314548475141906E-3</v>
      </c>
      <c r="CQ223" s="17">
        <v>8.3637368257548153E-3</v>
      </c>
      <c r="CR223" s="17">
        <v>4.0059280930075013E-2</v>
      </c>
      <c r="CS223" s="16">
        <f t="shared" si="46"/>
        <v>9.4891562908315644E-2</v>
      </c>
    </row>
    <row r="224" spans="1:97" x14ac:dyDescent="0.45">
      <c r="A224" s="7"/>
      <c r="B224" s="57"/>
      <c r="C224" s="17"/>
      <c r="D224" s="17"/>
      <c r="E224" s="17"/>
      <c r="G224" s="18"/>
      <c r="H224" s="18"/>
      <c r="I224" s="44"/>
      <c r="J224" s="17"/>
      <c r="K224" s="28"/>
      <c r="CK224" s="29"/>
      <c r="CN224" s="8">
        <v>110.5</v>
      </c>
      <c r="CO224" s="49">
        <v>0.05</v>
      </c>
      <c r="CP224" s="17">
        <v>-3.5156753947059834E-3</v>
      </c>
      <c r="CQ224" s="17">
        <v>8.3288690299044271E-3</v>
      </c>
      <c r="CR224" s="17">
        <v>3.9994196342421635E-2</v>
      </c>
      <c r="CS224" s="16">
        <f t="shared" si="46"/>
        <v>9.4807389977620088E-2</v>
      </c>
    </row>
    <row r="225" spans="1:97" x14ac:dyDescent="0.45">
      <c r="A225" s="7"/>
      <c r="B225" s="57"/>
      <c r="C225" s="17"/>
      <c r="D225" s="17"/>
      <c r="E225" s="17"/>
      <c r="G225" s="18"/>
      <c r="H225" s="18"/>
      <c r="I225" s="44"/>
      <c r="J225" s="17"/>
      <c r="K225" s="28"/>
      <c r="CK225" s="29"/>
      <c r="CN225" s="8">
        <v>111</v>
      </c>
      <c r="CO225" s="49">
        <v>0.05</v>
      </c>
      <c r="CP225" s="17">
        <v>-3.5000325739420511E-3</v>
      </c>
      <c r="CQ225" s="17">
        <v>8.294246171610533E-3</v>
      </c>
      <c r="CR225" s="17">
        <v>3.9928791659125933E-2</v>
      </c>
      <c r="CS225" s="16">
        <f t="shared" si="46"/>
        <v>9.4723005256794418E-2</v>
      </c>
    </row>
    <row r="226" spans="1:97" x14ac:dyDescent="0.45">
      <c r="A226" s="7"/>
      <c r="B226" s="57"/>
      <c r="C226" s="17"/>
      <c r="D226" s="17"/>
      <c r="E226" s="17"/>
      <c r="G226" s="18"/>
      <c r="H226" s="18"/>
      <c r="I226" s="44"/>
      <c r="J226" s="17"/>
      <c r="K226" s="28"/>
      <c r="CK226" s="29"/>
      <c r="CN226" s="8">
        <v>111.5</v>
      </c>
      <c r="CO226" s="49">
        <v>0.05</v>
      </c>
      <c r="CP226" s="17">
        <v>-3.4845246997793509E-3</v>
      </c>
      <c r="CQ226" s="17">
        <v>8.2598665062566107E-3</v>
      </c>
      <c r="CR226" s="17">
        <v>3.9863075948591058E-2</v>
      </c>
      <c r="CS226" s="16">
        <f t="shared" si="46"/>
        <v>9.4638417755068316E-2</v>
      </c>
    </row>
    <row r="227" spans="1:97" x14ac:dyDescent="0.45">
      <c r="A227" s="7"/>
      <c r="B227" s="57"/>
      <c r="C227" s="17"/>
      <c r="D227" s="17"/>
      <c r="E227" s="17"/>
      <c r="G227" s="18"/>
      <c r="H227" s="18"/>
      <c r="I227" s="44"/>
      <c r="J227" s="17"/>
      <c r="K227" s="28"/>
      <c r="CK227" s="29"/>
      <c r="CN227" s="8">
        <v>112</v>
      </c>
      <c r="CO227" s="49">
        <v>0.05</v>
      </c>
      <c r="CP227" s="17">
        <v>-3.469150112654194E-3</v>
      </c>
      <c r="CQ227" s="17">
        <v>8.2257282875159952E-3</v>
      </c>
      <c r="CR227" s="17">
        <v>3.9797058136780465E-2</v>
      </c>
      <c r="CS227" s="16">
        <f t="shared" si="46"/>
        <v>9.4553636311642264E-2</v>
      </c>
    </row>
    <row r="228" spans="1:97" x14ac:dyDescent="0.45">
      <c r="A228" s="7"/>
      <c r="B228" s="57"/>
      <c r="C228" s="17"/>
      <c r="D228" s="17"/>
      <c r="E228" s="17"/>
      <c r="G228" s="18"/>
      <c r="H228" s="18"/>
      <c r="I228" s="44"/>
      <c r="J228" s="17"/>
      <c r="K228" s="28"/>
      <c r="CK228" s="29"/>
      <c r="CN228" s="8">
        <v>112.5</v>
      </c>
      <c r="CO228" s="49">
        <v>0.05</v>
      </c>
      <c r="CP228" s="17">
        <v>-3.4539071784236838E-3</v>
      </c>
      <c r="CQ228" s="17">
        <v>8.1918297680222789E-3</v>
      </c>
      <c r="CR228" s="17">
        <v>3.9730747009189028E-2</v>
      </c>
      <c r="CS228" s="16">
        <f t="shared" si="46"/>
        <v>9.4468669598787636E-2</v>
      </c>
    </row>
    <row r="229" spans="1:97" x14ac:dyDescent="0.45">
      <c r="A229" s="7"/>
      <c r="B229" s="57"/>
      <c r="C229" s="17"/>
      <c r="D229" s="17"/>
      <c r="E229" s="17"/>
      <c r="G229" s="18"/>
      <c r="H229" s="18"/>
      <c r="I229" s="44"/>
      <c r="J229" s="17"/>
      <c r="K229" s="28"/>
      <c r="CK229" s="29"/>
      <c r="CN229" s="8">
        <v>113</v>
      </c>
      <c r="CO229" s="49">
        <v>0.05</v>
      </c>
      <c r="CP229" s="17">
        <v>-3.43879428791612E-3</v>
      </c>
      <c r="CQ229" s="17">
        <v>8.158169200012064E-3</v>
      </c>
      <c r="CR229" s="17">
        <v>3.9664151212788275E-2</v>
      </c>
      <c r="CS229" s="16">
        <f t="shared" si="46"/>
        <v>9.4383526124884223E-2</v>
      </c>
    </row>
    <row r="230" spans="1:97" x14ac:dyDescent="0.45">
      <c r="A230" s="7"/>
      <c r="B230" s="57"/>
      <c r="C230" s="17"/>
      <c r="D230" s="17"/>
      <c r="E230" s="17"/>
      <c r="G230" s="18"/>
      <c r="H230" s="18"/>
      <c r="I230" s="44"/>
      <c r="J230" s="17"/>
      <c r="K230" s="28"/>
      <c r="CK230" s="29"/>
      <c r="CN230" s="8">
        <v>113.5</v>
      </c>
      <c r="CO230" s="49">
        <v>0.05</v>
      </c>
      <c r="CP230" s="17">
        <v>-3.4238098564901591E-3</v>
      </c>
      <c r="CQ230" s="17">
        <v>8.1247448359409724E-3</v>
      </c>
      <c r="CR230" s="17">
        <v>3.9597279257945976E-2</v>
      </c>
      <c r="CS230" s="16">
        <f t="shared" si="46"/>
        <v>9.4298214237396788E-2</v>
      </c>
    </row>
    <row r="231" spans="1:97" x14ac:dyDescent="0.45">
      <c r="A231" s="7"/>
      <c r="B231" s="57"/>
      <c r="C231" s="17"/>
      <c r="D231" s="17"/>
      <c r="E231" s="17"/>
      <c r="G231" s="18"/>
      <c r="H231" s="18"/>
      <c r="I231" s="44"/>
      <c r="J231" s="17"/>
      <c r="K231" s="28"/>
      <c r="CK231" s="29"/>
      <c r="CN231" s="8">
        <v>114</v>
      </c>
      <c r="CO231" s="49">
        <v>0.05</v>
      </c>
      <c r="CP231" s="17">
        <v>-3.4089523236025621E-3</v>
      </c>
      <c r="CQ231" s="17">
        <v>8.0915549290737805E-3</v>
      </c>
      <c r="CR231" s="17">
        <v>3.9530139520320383E-2</v>
      </c>
      <c r="CS231" s="16">
        <f t="shared" si="46"/>
        <v>9.4212742125791615E-2</v>
      </c>
    </row>
    <row r="232" spans="1:97" x14ac:dyDescent="0.45">
      <c r="A232" s="7"/>
      <c r="B232" s="49"/>
      <c r="C232" s="17"/>
      <c r="D232" s="17"/>
      <c r="E232" s="17"/>
      <c r="G232" s="18"/>
      <c r="H232" s="18"/>
      <c r="I232" s="44"/>
      <c r="J232" s="17"/>
      <c r="K232" s="28"/>
      <c r="CK232" s="29"/>
      <c r="CN232" s="8">
        <v>114.5</v>
      </c>
      <c r="CO232" s="49">
        <v>0.05</v>
      </c>
      <c r="CP232" s="17">
        <v>-3.3942201523843485E-3</v>
      </c>
      <c r="CQ232" s="17">
        <v>8.0585977340496013E-3</v>
      </c>
      <c r="CR232" s="17">
        <v>3.9462740242729541E-2</v>
      </c>
      <c r="CS232" s="16">
        <f t="shared" si="46"/>
        <v>9.4127117824394785E-2</v>
      </c>
    </row>
    <row r="233" spans="1:97" x14ac:dyDescent="0.45">
      <c r="A233" s="7"/>
      <c r="B233" s="49"/>
      <c r="C233" s="17"/>
      <c r="D233" s="17"/>
      <c r="E233" s="17"/>
      <c r="G233" s="18"/>
      <c r="H233" s="18"/>
      <c r="I233" s="44"/>
      <c r="J233" s="17"/>
      <c r="K233" s="28"/>
      <c r="CK233" s="29"/>
      <c r="CL233" s="20"/>
      <c r="CN233" s="8">
        <v>115</v>
      </c>
      <c r="CO233" s="49">
        <v>0.05</v>
      </c>
      <c r="CP233" s="17">
        <v>-3.3796118292251775E-3</v>
      </c>
      <c r="CQ233" s="17">
        <v>8.0258715074228576E-3</v>
      </c>
      <c r="CR233" s="17">
        <v>3.9395089536995831E-2</v>
      </c>
      <c r="CS233" s="16">
        <f t="shared" si="46"/>
        <v>9.4041349215193512E-2</v>
      </c>
    </row>
    <row r="234" spans="1:97" x14ac:dyDescent="0.45">
      <c r="A234" s="7"/>
      <c r="B234" s="49"/>
      <c r="C234" s="17"/>
      <c r="D234" s="17"/>
      <c r="E234" s="17"/>
      <c r="G234" s="18"/>
      <c r="H234" s="18"/>
      <c r="I234" s="44"/>
      <c r="J234" s="17"/>
      <c r="K234" s="28"/>
      <c r="CK234" s="29"/>
      <c r="CL234" s="15"/>
      <c r="CN234" s="8">
        <v>115.5</v>
      </c>
      <c r="CO234" s="49">
        <v>0.05</v>
      </c>
      <c r="CP234" s="17">
        <v>-3.3651258633657917E-3</v>
      </c>
      <c r="CQ234" s="17">
        <v>7.9933745081809393E-3</v>
      </c>
      <c r="CR234" s="17">
        <v>3.9327195385766282E-2</v>
      </c>
      <c r="CS234" s="16">
        <f t="shared" si="46"/>
        <v>9.3955444030581425E-2</v>
      </c>
    </row>
    <row r="235" spans="1:97" x14ac:dyDescent="0.45">
      <c r="A235" s="7"/>
      <c r="B235" s="49"/>
      <c r="C235" s="17"/>
      <c r="D235" s="17"/>
      <c r="E235" s="17"/>
      <c r="G235" s="18"/>
      <c r="H235" s="18"/>
      <c r="I235" s="44"/>
      <c r="J235" s="17"/>
      <c r="K235" s="28"/>
      <c r="CK235" s="29"/>
      <c r="CL235" s="18"/>
      <c r="CN235" s="8">
        <v>116</v>
      </c>
      <c r="CO235" s="49">
        <v>0.05</v>
      </c>
      <c r="CP235" s="17">
        <v>-3.3507607864983451E-3</v>
      </c>
      <c r="CQ235" s="17">
        <v>7.9611049982392639E-3</v>
      </c>
      <c r="CR235" s="17">
        <v>3.9259065644308769E-2</v>
      </c>
      <c r="CS235" s="16">
        <f t="shared" si="46"/>
        <v>9.386940985604969E-2</v>
      </c>
    </row>
    <row r="236" spans="1:97" x14ac:dyDescent="0.45">
      <c r="A236" s="7"/>
      <c r="B236" s="49"/>
      <c r="D236" s="17"/>
      <c r="E236" s="17"/>
      <c r="G236" s="18"/>
      <c r="H236" s="18"/>
      <c r="I236" s="44"/>
      <c r="J236" s="17"/>
      <c r="K236" s="28"/>
      <c r="CK236" s="29"/>
      <c r="CN236" s="8">
        <v>116.5</v>
      </c>
      <c r="CO236" s="49">
        <v>0.05</v>
      </c>
      <c r="CP236" s="17">
        <v>-3.336515152374465E-3</v>
      </c>
      <c r="CQ236" s="17">
        <v>7.9290612429145438E-3</v>
      </c>
      <c r="CR236" s="17">
        <v>3.9190708042284514E-2</v>
      </c>
      <c r="CS236" s="16">
        <f t="shared" si="46"/>
        <v>9.3783254132824595E-2</v>
      </c>
    </row>
    <row r="237" spans="1:97" x14ac:dyDescent="0.45">
      <c r="A237" s="7"/>
      <c r="B237" s="49"/>
      <c r="D237" s="17"/>
      <c r="E237" s="17"/>
      <c r="G237" s="18"/>
      <c r="H237" s="18"/>
      <c r="I237" s="44"/>
      <c r="J237" s="17"/>
      <c r="K237" s="28"/>
      <c r="CK237" s="29"/>
      <c r="CN237" s="8">
        <v>117</v>
      </c>
      <c r="CO237" s="49">
        <v>0.05</v>
      </c>
      <c r="CP237" s="17">
        <v>-3.3223875364208765E-3</v>
      </c>
      <c r="CQ237" s="17">
        <v>7.8972415113769592E-3</v>
      </c>
      <c r="CR237" s="17">
        <v>3.912213018549715E-2</v>
      </c>
      <c r="CS237" s="16">
        <f t="shared" si="46"/>
        <v>9.3696984160453245E-2</v>
      </c>
    </row>
    <row r="238" spans="1:97" x14ac:dyDescent="0.45">
      <c r="A238" s="7"/>
      <c r="B238" s="49"/>
      <c r="I238" s="18"/>
      <c r="J238" s="17"/>
      <c r="CN238" s="8">
        <v>117.5</v>
      </c>
      <c r="CO238" s="49">
        <v>0.05</v>
      </c>
      <c r="CP238" s="17">
        <v>-3.3083765353624376E-3</v>
      </c>
      <c r="CQ238" s="17">
        <v>7.8656440770819794E-3</v>
      </c>
      <c r="CR238" s="17">
        <v>3.905333955761868E-2</v>
      </c>
      <c r="CS238" s="16">
        <f t="shared" si="46"/>
        <v>9.3610607099338217E-2</v>
      </c>
    </row>
    <row r="239" spans="1:97" x14ac:dyDescent="0.45">
      <c r="A239" s="7"/>
      <c r="B239" s="49"/>
      <c r="I239" s="18"/>
      <c r="J239" s="17"/>
      <c r="CN239" s="8">
        <v>118</v>
      </c>
      <c r="CO239" s="49">
        <v>0.05</v>
      </c>
      <c r="CP239" s="17">
        <v>-3.2944807668524334E-3</v>
      </c>
      <c r="CQ239" s="17">
        <v>7.8342672181825109E-3</v>
      </c>
      <c r="CR239" s="17">
        <v>3.8984343521892624E-2</v>
      </c>
      <c r="CS239" s="16">
        <f t="shared" si="46"/>
        <v>9.3524129973222708E-2</v>
      </c>
    </row>
    <row r="240" spans="1:97" x14ac:dyDescent="0.45">
      <c r="A240" s="7"/>
      <c r="B240" s="49"/>
      <c r="I240" s="18"/>
      <c r="J240" s="17"/>
      <c r="CN240" s="8">
        <v>118.5</v>
      </c>
      <c r="CO240" s="49">
        <v>0.05</v>
      </c>
      <c r="CP240" s="17">
        <v>-3.2806988691099735E-3</v>
      </c>
      <c r="CQ240" s="17">
        <v>7.8031092179220258E-3</v>
      </c>
      <c r="CR240" s="17">
        <v>3.8915149322814646E-2</v>
      </c>
      <c r="CS240" s="16">
        <f t="shared" si="46"/>
        <v>9.3437559671626702E-2</v>
      </c>
    </row>
    <row r="241" spans="1:97" x14ac:dyDescent="0.45">
      <c r="A241" s="7"/>
      <c r="B241" s="49"/>
      <c r="I241" s="18"/>
      <c r="J241" s="17"/>
      <c r="CN241" s="8">
        <v>119</v>
      </c>
      <c r="CO241" s="49">
        <v>0.05</v>
      </c>
      <c r="CP241" s="17">
        <v>-3.2670295005643515E-3</v>
      </c>
      <c r="CQ241" s="17">
        <v>7.772168365009352E-3</v>
      </c>
      <c r="CR241" s="17">
        <v>3.884576408779087E-2</v>
      </c>
      <c r="CS241" s="16">
        <f t="shared" si="46"/>
        <v>9.3350902952235873E-2</v>
      </c>
    </row>
    <row r="242" spans="1:97" x14ac:dyDescent="0.45">
      <c r="A242" s="7"/>
      <c r="B242" s="49"/>
      <c r="E242" s="9" t="str">
        <f>_xlfn.CONCAT("Value = c(",ROUND(C248,5),",",ROUND(C249,5),",",ROUND(C250,5),",",ROUND(C251,5),",",ROUND(C252,5),",",ROUND(C253,5),"),")</f>
        <v>Value = c(0.03678,-0.02191,0.05256,0.14445,17.76451,40.34467),</v>
      </c>
      <c r="I242" s="18"/>
      <c r="J242" s="17"/>
      <c r="CN242" s="8">
        <v>119.5</v>
      </c>
      <c r="CO242" s="49">
        <v>0.05</v>
      </c>
      <c r="CP242" s="17">
        <v>-3.2534713395062208E-3</v>
      </c>
      <c r="CQ242" s="17">
        <v>7.7414429539757268E-3</v>
      </c>
      <c r="CR242" s="17">
        <v>3.8776194828774369E-2</v>
      </c>
      <c r="CS242" s="16">
        <f t="shared" si="46"/>
        <v>9.3264166443243868E-2</v>
      </c>
    </row>
    <row r="243" spans="1:97" x14ac:dyDescent="0.45">
      <c r="A243" s="7"/>
      <c r="B243" s="49"/>
      <c r="E243" s="9" t="str">
        <f ca="1">_xlfn.CONCAT("Value = c(""",ROUND(E249,2),""",""",ROUND(E255,0),""",""",ROUND(E251,2),""",""",ROUND(E253,0),"""),")</f>
        <v>Value = c("0.03","361","0.09","252"),</v>
      </c>
      <c r="I243" s="18"/>
      <c r="J243" s="17"/>
      <c r="CN243" s="8">
        <v>120</v>
      </c>
      <c r="CO243" s="49">
        <v>0.05</v>
      </c>
      <c r="CP243" s="17">
        <v>-3.2400230837454453E-3</v>
      </c>
      <c r="CQ243" s="17">
        <v>7.7109312855147393E-3</v>
      </c>
      <c r="CR243" s="17">
        <v>3.8706448443879909E-2</v>
      </c>
      <c r="CS243" s="16">
        <f t="shared" si="46"/>
        <v>9.3177356645649217E-2</v>
      </c>
    </row>
    <row r="244" spans="1:97" x14ac:dyDescent="0.45">
      <c r="A244" s="7"/>
      <c r="B244" s="49"/>
      <c r="I244" s="18"/>
      <c r="J244" s="17"/>
      <c r="CN244" s="8">
        <v>120.5</v>
      </c>
      <c r="CO244" s="49">
        <v>0.05</v>
      </c>
      <c r="CP244" s="17">
        <v>-3.2266834502754881E-3</v>
      </c>
      <c r="CQ244" s="17">
        <v>7.6806316668057255E-3</v>
      </c>
      <c r="CR244" s="17">
        <v>3.8636531718977296E-2</v>
      </c>
      <c r="CS244" s="16">
        <f t="shared" si="46"/>
        <v>9.3090479935507536E-2</v>
      </c>
    </row>
    <row r="245" spans="1:97" x14ac:dyDescent="0.45">
      <c r="A245" s="7"/>
      <c r="B245" s="49"/>
      <c r="I245" s="18"/>
      <c r="J245" s="17"/>
      <c r="CN245" s="8">
        <v>121</v>
      </c>
      <c r="CO245" s="49">
        <v>0.05</v>
      </c>
      <c r="CP245" s="17">
        <v>-3.2134511749442062E-3</v>
      </c>
      <c r="CQ245" s="17">
        <v>7.6505424118212349E-3</v>
      </c>
      <c r="CR245" s="17">
        <v>3.8566451329263687E-2</v>
      </c>
      <c r="CS245" s="16">
        <f t="shared" si="46"/>
        <v>9.3003542566140712E-2</v>
      </c>
    </row>
    <row r="246" spans="1:97" x14ac:dyDescent="0.45">
      <c r="B246" s="50"/>
      <c r="C246" s="23"/>
      <c r="D246" s="22"/>
      <c r="E246" s="24"/>
      <c r="CN246" s="8">
        <v>121.5</v>
      </c>
      <c r="CO246" s="49">
        <v>0.05</v>
      </c>
      <c r="CP246" s="17">
        <v>-3.2003250121309191E-3</v>
      </c>
      <c r="CQ246" s="17">
        <v>7.6206618416190678E-3</v>
      </c>
      <c r="CR246" s="17">
        <v>3.8496213840814975E-2</v>
      </c>
      <c r="CS246" s="16">
        <f t="shared" si="46"/>
        <v>9.2916550670303133E-2</v>
      </c>
    </row>
    <row r="247" spans="1:97" x14ac:dyDescent="0.45">
      <c r="B247" s="30" t="s">
        <v>235</v>
      </c>
      <c r="C247" s="31" t="s">
        <v>236</v>
      </c>
      <c r="D247" s="30" t="s">
        <v>237</v>
      </c>
      <c r="E247" s="32" t="s">
        <v>238</v>
      </c>
      <c r="CN247" s="8">
        <v>122</v>
      </c>
      <c r="CO247" s="49">
        <v>0.05</v>
      </c>
      <c r="CP247" s="17">
        <v>-3.1873037344296129E-3</v>
      </c>
      <c r="CQ247" s="17">
        <v>7.5909882846194633E-3</v>
      </c>
      <c r="CR247" s="17">
        <v>3.8425825712116675E-2</v>
      </c>
      <c r="CS247" s="16">
        <f t="shared" si="46"/>
        <v>9.2829510262306542E-2</v>
      </c>
    </row>
    <row r="248" spans="1:97" ht="15.75" x14ac:dyDescent="0.5">
      <c r="A248" s="47" t="s">
        <v>239</v>
      </c>
      <c r="B248" s="33">
        <v>0.05</v>
      </c>
      <c r="C248" s="34">
        <v>3.6780012704100286E-2</v>
      </c>
      <c r="D248" s="35" t="s">
        <v>240</v>
      </c>
      <c r="E248" s="36" t="s">
        <v>241</v>
      </c>
      <c r="I248" s="17" t="s">
        <v>242</v>
      </c>
      <c r="J248" s="17" t="s">
        <v>243</v>
      </c>
      <c r="K248" s="8" t="s">
        <v>244</v>
      </c>
      <c r="L248" s="20">
        <f>+b0+b1_*((1-EXP(-L2/tau1_))*tau1_/L2)+b2_*((1-EXP(-L2/tau1_))*tau1_/L2-EXP(-L2/tau1_))+b3_*((1-EXP(-L2/tau2_))*tau2_/L2-EXP(-L2/tau2_))</f>
        <v>1.6787222526608105E-2</v>
      </c>
      <c r="M248" s="20">
        <f t="shared" ref="M248:AR248" si="47">+b0+b1_*((1-EXP(-M2/tau1_))*tau1_/M2)+b2_*((1-EXP(-M2/tau1_))*tau1_/M2-EXP(-M2/tau1_))</f>
        <v>1.6898380000111735E-2</v>
      </c>
      <c r="N248" s="20">
        <f t="shared" si="47"/>
        <v>1.7865688058249389E-2</v>
      </c>
      <c r="O248" s="20">
        <f t="shared" si="47"/>
        <v>1.8802323715751423E-2</v>
      </c>
      <c r="P248" s="20">
        <f t="shared" si="47"/>
        <v>1.9709191186969871E-2</v>
      </c>
      <c r="Q248" s="20">
        <f t="shared" si="47"/>
        <v>2.0587168711067888E-2</v>
      </c>
      <c r="R248" s="20">
        <f t="shared" si="47"/>
        <v>2.1437109289184651E-2</v>
      </c>
      <c r="S248" s="20">
        <f t="shared" si="47"/>
        <v>2.2259841400819387E-2</v>
      </c>
      <c r="T248" s="20">
        <f t="shared" si="47"/>
        <v>2.3056169700017514E-2</v>
      </c>
      <c r="U248" s="20">
        <f t="shared" si="47"/>
        <v>2.3826875691926739E-2</v>
      </c>
      <c r="V248" s="20">
        <f t="shared" si="47"/>
        <v>2.4572718390273661E-2</v>
      </c>
      <c r="W248" s="20">
        <f t="shared" si="47"/>
        <v>2.5294434956297119E-2</v>
      </c>
      <c r="X248" s="20">
        <f t="shared" si="47"/>
        <v>2.5992741319658862E-2</v>
      </c>
      <c r="Y248" s="20">
        <f t="shared" si="47"/>
        <v>2.6668332781837681E-2</v>
      </c>
      <c r="Z248" s="20">
        <f t="shared" si="47"/>
        <v>2.732188460249934E-2</v>
      </c>
      <c r="AA248" s="20">
        <f t="shared" si="47"/>
        <v>2.7954052569320126E-2</v>
      </c>
      <c r="AB248" s="20">
        <f t="shared" si="47"/>
        <v>2.856547355172917E-2</v>
      </c>
      <c r="AC248" s="20">
        <f t="shared" si="47"/>
        <v>2.9156766039021259E-2</v>
      </c>
      <c r="AD248" s="20">
        <f t="shared" si="47"/>
        <v>2.9728530663279264E-2</v>
      </c>
      <c r="AE248" s="20">
        <f t="shared" si="47"/>
        <v>3.0281350707533117E-2</v>
      </c>
      <c r="AF248" s="20">
        <f t="shared" si="47"/>
        <v>3.0815792599570152E-2</v>
      </c>
      <c r="AG248" s="20">
        <f t="shared" si="47"/>
        <v>3.1332406391800238E-2</v>
      </c>
      <c r="AH248" s="20">
        <f t="shared" si="47"/>
        <v>3.1831726227567414E-2</v>
      </c>
      <c r="AI248" s="20">
        <f t="shared" si="47"/>
        <v>3.2314270794289342E-2</v>
      </c>
      <c r="AJ248" s="20">
        <f t="shared" si="47"/>
        <v>3.278054376379462E-2</v>
      </c>
      <c r="AK248" s="20">
        <f t="shared" si="47"/>
        <v>3.3231034220218045E-2</v>
      </c>
      <c r="AL248" s="20">
        <f t="shared" si="47"/>
        <v>3.3666217075803542E-2</v>
      </c>
      <c r="AM248" s="20">
        <f t="shared" si="47"/>
        <v>3.4086553474955011E-2</v>
      </c>
      <c r="AN248" s="20">
        <f t="shared" si="47"/>
        <v>3.4492491186865343E-2</v>
      </c>
      <c r="AO248" s="20">
        <f t="shared" si="47"/>
        <v>3.4884464987045047E-2</v>
      </c>
      <c r="AP248" s="20">
        <f t="shared" si="47"/>
        <v>3.5262897028062616E-2</v>
      </c>
      <c r="AQ248" s="20">
        <f t="shared" si="47"/>
        <v>3.5628197199800135E-2</v>
      </c>
      <c r="AR248" s="20">
        <f t="shared" si="47"/>
        <v>3.5980763479519159E-2</v>
      </c>
      <c r="AS248" s="20">
        <f t="shared" ref="AS248:BX248" si="48">+b0+b1_*((1-EXP(-AS2/tau1_))*tau1_/AS2)+b2_*((1-EXP(-AS2/tau1_))*tau1_/AS2-EXP(-AS2/tau1_))</f>
        <v>3.6320982272023482E-2</v>
      </c>
      <c r="AT248" s="20">
        <f t="shared" si="48"/>
        <v>3.6649228740197506E-2</v>
      </c>
      <c r="AU248" s="20">
        <f t="shared" si="48"/>
        <v>3.6965867126191113E-2</v>
      </c>
      <c r="AV248" s="20">
        <f t="shared" si="48"/>
        <v>3.7271251063514074E-2</v>
      </c>
      <c r="AW248" s="20">
        <f t="shared" si="48"/>
        <v>3.7565723880296185E-2</v>
      </c>
      <c r="AX248" s="20">
        <f t="shared" si="48"/>
        <v>3.7849618893961601E-2</v>
      </c>
      <c r="AY248" s="20">
        <f t="shared" si="48"/>
        <v>3.8123259697559003E-2</v>
      </c>
      <c r="AZ248" s="20">
        <f t="shared" si="48"/>
        <v>3.8386960437982925E-2</v>
      </c>
      <c r="BA248" s="20">
        <f t="shared" si="48"/>
        <v>3.8641026086314055E-2</v>
      </c>
      <c r="BB248" s="20">
        <f t="shared" si="48"/>
        <v>3.8885752700500875E-2</v>
      </c>
      <c r="BC248" s="20">
        <f t="shared" si="48"/>
        <v>3.9121427680598161E-2</v>
      </c>
      <c r="BD248" s="20">
        <f t="shared" si="48"/>
        <v>3.9348330016771925E-2</v>
      </c>
      <c r="BE248" s="20">
        <f t="shared" si="48"/>
        <v>3.956673053027486E-2</v>
      </c>
      <c r="BF248" s="20">
        <f t="shared" si="48"/>
        <v>3.9776892107589917E-2</v>
      </c>
      <c r="BG248" s="20">
        <f t="shared" si="48"/>
        <v>3.9979069927934985E-2</v>
      </c>
      <c r="BH248" s="20">
        <f t="shared" si="48"/>
        <v>4.0173511684315294E-2</v>
      </c>
      <c r="BI248" s="20">
        <f t="shared" si="48"/>
        <v>4.0360457798305757E-2</v>
      </c>
      <c r="BJ248" s="20">
        <f t="shared" si="48"/>
        <v>4.0540141628739819E-2</v>
      </c>
      <c r="BK248" s="20">
        <f t="shared" si="48"/>
        <v>4.0712789674476536E-2</v>
      </c>
      <c r="BL248" s="20">
        <f t="shared" si="48"/>
        <v>4.0878621771412937E-2</v>
      </c>
      <c r="BM248" s="20">
        <f t="shared" si="48"/>
        <v>4.1037851283903949E-2</v>
      </c>
      <c r="BN248" s="20">
        <f t="shared" si="48"/>
        <v>4.1190685290747438E-2</v>
      </c>
      <c r="BO248" s="20">
        <f t="shared" si="48"/>
        <v>4.133732476588782E-2</v>
      </c>
      <c r="BP248" s="20">
        <f t="shared" si="48"/>
        <v>4.1477964753987066E-2</v>
      </c>
      <c r="BQ248" s="20">
        <f t="shared" si="48"/>
        <v>4.1612794541007983E-2</v>
      </c>
      <c r="BR248" s="20">
        <f t="shared" si="48"/>
        <v>4.1741997819950499E-2</v>
      </c>
      <c r="BS248" s="20">
        <f t="shared" si="48"/>
        <v>4.1865752851877616E-2</v>
      </c>
      <c r="BT248" s="20">
        <f t="shared" si="48"/>
        <v>4.1984232622364073E-2</v>
      </c>
      <c r="BU248" s="20">
        <f t="shared" si="48"/>
        <v>4.2097604993496796E-2</v>
      </c>
      <c r="BV248" s="20">
        <f t="shared" si="48"/>
        <v>4.2206032851552798E-2</v>
      </c>
      <c r="BW248" s="20">
        <f t="shared" si="48"/>
        <v>4.230967425047652E-2</v>
      </c>
      <c r="BX248" s="20">
        <f t="shared" si="48"/>
        <v>4.2408682551275168E-2</v>
      </c>
      <c r="BY248" s="20">
        <f t="shared" ref="BY248:CK248" si="49">+b0+b1_*((1-EXP(-BY2/tau1_))*tau1_/BY2)+b2_*((1-EXP(-BY2/tau1_))*tau1_/BY2-EXP(-BY2/tau1_))</f>
        <v>4.2503206557447382E-2</v>
      </c>
      <c r="BZ248" s="20">
        <f t="shared" si="49"/>
        <v>4.2593390646557198E-2</v>
      </c>
      <c r="CA248" s="20">
        <f t="shared" si="49"/>
        <v>4.2679374898062283E-2</v>
      </c>
      <c r="CB248" s="20">
        <f t="shared" si="49"/>
        <v>4.2761295217502118E-2</v>
      </c>
      <c r="CC248" s="20">
        <f t="shared" si="49"/>
        <v>4.2839283457149102E-2</v>
      </c>
      <c r="CD248" s="20">
        <f t="shared" si="49"/>
        <v>4.2913467533222435E-2</v>
      </c>
      <c r="CE248" s="20">
        <f t="shared" si="49"/>
        <v>4.2983971539761995E-2</v>
      </c>
      <c r="CF248" s="20">
        <f t="shared" si="49"/>
        <v>4.3050915859256522E-2</v>
      </c>
      <c r="CG248" s="20">
        <f t="shared" si="49"/>
        <v>4.3114417270117965E-2</v>
      </c>
      <c r="CH248" s="20">
        <f t="shared" si="49"/>
        <v>4.3174589051091082E-2</v>
      </c>
      <c r="CI248" s="20">
        <f t="shared" si="49"/>
        <v>4.3231541082684996E-2</v>
      </c>
      <c r="CJ248" s="20">
        <f t="shared" si="49"/>
        <v>4.3285379945710939E-2</v>
      </c>
      <c r="CK248" s="20">
        <f t="shared" si="49"/>
        <v>4.3336209017007972E-2</v>
      </c>
      <c r="CN248" s="8">
        <v>122.5</v>
      </c>
      <c r="CO248" s="49">
        <v>0.05</v>
      </c>
      <c r="CP248" s="17">
        <v>-3.1743861323381773E-3</v>
      </c>
      <c r="CQ248" s="17">
        <v>7.5615200768679334E-3</v>
      </c>
      <c r="CR248" s="17">
        <v>3.8355293295574446E-2</v>
      </c>
      <c r="CS248" s="16">
        <f t="shared" si="46"/>
        <v>9.2742427240104203E-2</v>
      </c>
    </row>
    <row r="249" spans="1:97" ht="15.75" x14ac:dyDescent="0.5">
      <c r="A249" s="47" t="s">
        <v>245</v>
      </c>
      <c r="B249" s="33">
        <v>-0.04</v>
      </c>
      <c r="C249" s="34">
        <v>-2.1912017328798807E-2</v>
      </c>
      <c r="D249" s="37">
        <v>6.6983366234326303</v>
      </c>
      <c r="E249" s="36">
        <f ca="1">AVERAGE(F3:F231)</f>
        <v>2.670548431346309E-2</v>
      </c>
      <c r="I249" s="17" t="s">
        <v>246</v>
      </c>
      <c r="J249" s="63" t="s">
        <v>247</v>
      </c>
      <c r="K249" s="63"/>
      <c r="L249" s="21">
        <f t="shared" ref="L249:AQ249" si="50">+(1+L248)^(-L2)</f>
        <v>0.99171061081266532</v>
      </c>
      <c r="M249" s="15">
        <f t="shared" si="50"/>
        <v>0.98338243001222025</v>
      </c>
      <c r="N249" s="15">
        <f t="shared" si="50"/>
        <v>0.97378770751715016</v>
      </c>
      <c r="O249" s="15">
        <f t="shared" si="50"/>
        <v>0.96342995726623204</v>
      </c>
      <c r="P249" s="15">
        <f t="shared" si="50"/>
        <v>0.95237758500993053</v>
      </c>
      <c r="Q249" s="15">
        <f t="shared" si="50"/>
        <v>0.940696846964022</v>
      </c>
      <c r="R249" s="15">
        <f t="shared" si="50"/>
        <v>0.92845164119874168</v>
      </c>
      <c r="S249" s="15">
        <f t="shared" si="50"/>
        <v>0.91570334159730671</v>
      </c>
      <c r="T249" s="15">
        <f t="shared" si="50"/>
        <v>0.90251067068473811</v>
      </c>
      <c r="U249" s="15">
        <f t="shared" si="50"/>
        <v>0.88892960766349716</v>
      </c>
      <c r="V249" s="15">
        <f t="shared" si="50"/>
        <v>0.87501332807793342</v>
      </c>
      <c r="W249" s="15">
        <f t="shared" si="50"/>
        <v>0.860812171654742</v>
      </c>
      <c r="X249" s="15">
        <f t="shared" si="50"/>
        <v>0.8463736350224107</v>
      </c>
      <c r="Y249" s="15">
        <f t="shared" si="50"/>
        <v>0.83174238619117968</v>
      </c>
      <c r="Z249" s="15">
        <f t="shared" si="50"/>
        <v>0.81696029786923519</v>
      </c>
      <c r="AA249" s="15">
        <f t="shared" si="50"/>
        <v>0.80206649689492826</v>
      </c>
      <c r="AB249" s="15">
        <f t="shared" si="50"/>
        <v>0.78709742727371734</v>
      </c>
      <c r="AC249" s="15">
        <f t="shared" si="50"/>
        <v>0.77208692451804373</v>
      </c>
      <c r="AD249" s="15">
        <f t="shared" si="50"/>
        <v>0.75706629919515533</v>
      </c>
      <c r="AE249" s="15">
        <f t="shared" si="50"/>
        <v>0.74206442778925064</v>
      </c>
      <c r="AF249" s="15">
        <f t="shared" si="50"/>
        <v>0.72710784917808036</v>
      </c>
      <c r="AG249" s="15">
        <f t="shared" si="50"/>
        <v>0.7122208652087888</v>
      </c>
      <c r="AH249" s="15">
        <f t="shared" si="50"/>
        <v>0.69742564403202789</v>
      </c>
      <c r="AI249" s="15">
        <f t="shared" si="50"/>
        <v>0.68274232501675436</v>
      </c>
      <c r="AJ249" s="15">
        <f t="shared" si="50"/>
        <v>0.66818912421976751</v>
      </c>
      <c r="AK249" s="15">
        <f t="shared" si="50"/>
        <v>0.65378243952426152</v>
      </c>
      <c r="AL249" s="15">
        <f t="shared" si="50"/>
        <v>0.63953695469015215</v>
      </c>
      <c r="AM249" s="15">
        <f t="shared" si="50"/>
        <v>0.62546574167607594</v>
      </c>
      <c r="AN249" s="15">
        <f t="shared" si="50"/>
        <v>0.61158036069910526</v>
      </c>
      <c r="AO249" s="15">
        <f t="shared" si="50"/>
        <v>0.59789095759379063</v>
      </c>
      <c r="AP249" s="15">
        <f t="shared" si="50"/>
        <v>0.58440635811773123</v>
      </c>
      <c r="AQ249" s="15">
        <f t="shared" si="50"/>
        <v>0.57113415892702557</v>
      </c>
      <c r="AR249" s="15">
        <f t="shared" ref="AR249:BW249" si="51">+(1+AR248)^(-AR2)</f>
        <v>0.55808081501229068</v>
      </c>
      <c r="AS249" s="15">
        <f t="shared" si="51"/>
        <v>0.54525172344519257</v>
      </c>
      <c r="AT249" s="15">
        <f t="shared" si="51"/>
        <v>0.53265130333705268</v>
      </c>
      <c r="AU249" s="15">
        <f t="shared" si="51"/>
        <v>0.52028307195594625</v>
      </c>
      <c r="AV249" s="15">
        <f t="shared" si="51"/>
        <v>0.50814971698716305</v>
      </c>
      <c r="AW249" s="15">
        <f t="shared" si="51"/>
        <v>0.49625316495478783</v>
      </c>
      <c r="AX249" s="15">
        <f t="shared" si="51"/>
        <v>0.4845946458498287</v>
      </c>
      <c r="AY249" s="15">
        <f t="shared" si="51"/>
        <v>0.47317475403338666</v>
      </c>
      <c r="AZ249" s="15">
        <f t="shared" si="51"/>
        <v>0.46199350550241286</v>
      </c>
      <c r="BA249" s="15">
        <f t="shared" si="51"/>
        <v>0.45105039162093241</v>
      </c>
      <c r="BB249" s="15">
        <f t="shared" si="51"/>
        <v>0.44034442943169294</v>
      </c>
      <c r="BC249" s="15">
        <f t="shared" si="51"/>
        <v>0.42987420867257636</v>
      </c>
      <c r="BD249" s="15">
        <f t="shared" si="51"/>
        <v>0.41963793562894086</v>
      </c>
      <c r="BE249" s="15">
        <f t="shared" si="51"/>
        <v>0.40963347395767624</v>
      </c>
      <c r="BF249" s="15">
        <f t="shared" si="51"/>
        <v>0.3998583826217601</v>
      </c>
      <c r="BG249" s="15">
        <f t="shared" si="51"/>
        <v>0.3903099510752015</v>
      </c>
      <c r="BH249" s="15">
        <f t="shared" si="51"/>
        <v>0.38098523183835387</v>
      </c>
      <c r="BI249" s="15">
        <f t="shared" si="51"/>
        <v>0.37188107060226011</v>
      </c>
      <c r="BJ249" s="15">
        <f t="shared" si="51"/>
        <v>0.36299413399861646</v>
      </c>
      <c r="BK249" s="15">
        <f t="shared" si="51"/>
        <v>0.35432093516906271</v>
      </c>
      <c r="BL249" s="15">
        <f t="shared" si="51"/>
        <v>0.34585785726388862</v>
      </c>
      <c r="BM249" s="15">
        <f t="shared" si="51"/>
        <v>0.33760117499633252</v>
      </c>
      <c r="BN249" s="15">
        <f t="shared" si="51"/>
        <v>0.3295470743741778</v>
      </c>
      <c r="BO249" s="15">
        <f t="shared" si="51"/>
        <v>0.32169167072569271</v>
      </c>
      <c r="BP249" s="15">
        <f t="shared" si="51"/>
        <v>0.31403102513209419</v>
      </c>
      <c r="BQ249" s="15">
        <f t="shared" si="51"/>
        <v>0.30656115937369233</v>
      </c>
      <c r="BR249" s="15">
        <f t="shared" si="51"/>
        <v>0.29927806949182628</v>
      </c>
      <c r="BS249" s="15">
        <f t="shared" si="51"/>
        <v>0.29217773806361236</v>
      </c>
      <c r="BT249" s="15">
        <f t="shared" si="51"/>
        <v>0.28525614528150739</v>
      </c>
      <c r="BU249" s="15">
        <f t="shared" si="51"/>
        <v>0.27850927892469757</v>
      </c>
      <c r="BV249" s="15">
        <f t="shared" si="51"/>
        <v>0.27193314330445856</v>
      </c>
      <c r="BW249" s="15">
        <f t="shared" si="51"/>
        <v>0.2655237672609197</v>
      </c>
      <c r="BX249" s="15">
        <f t="shared" ref="BX249:CK249" si="52">+(1+BX248)^(-BX2)</f>
        <v>0.25927721128399855</v>
      </c>
      <c r="BY249" s="15">
        <f t="shared" si="52"/>
        <v>0.25318957382689311</v>
      </c>
      <c r="BZ249" s="15">
        <f t="shared" si="52"/>
        <v>0.24725699687621497</v>
      </c>
      <c r="CA249" s="15">
        <f t="shared" si="52"/>
        <v>0.2414756708387221</v>
      </c>
      <c r="CB249" s="15">
        <f t="shared" si="52"/>
        <v>0.23584183880074586</v>
      </c>
      <c r="CC249" s="15">
        <f t="shared" si="52"/>
        <v>0.2303518002126177</v>
      </c>
      <c r="CD249" s="15">
        <f t="shared" si="52"/>
        <v>0.22500191404689263</v>
      </c>
      <c r="CE249" s="15">
        <f t="shared" si="52"/>
        <v>0.21978860147574419</v>
      </c>
      <c r="CF249" s="15">
        <f t="shared" si="52"/>
        <v>0.21470834810979184</v>
      </c>
      <c r="CG249" s="15">
        <f t="shared" si="52"/>
        <v>0.20975770583751899</v>
      </c>
      <c r="CH249" s="15">
        <f t="shared" si="52"/>
        <v>0.20493329430167773</v>
      </c>
      <c r="CI249" s="15">
        <f t="shared" si="52"/>
        <v>0.20023180204636187</v>
      </c>
      <c r="CJ249" s="15">
        <f t="shared" si="52"/>
        <v>0.195649987365903</v>
      </c>
      <c r="CK249" s="15">
        <f t="shared" si="52"/>
        <v>0.19118467888445048</v>
      </c>
      <c r="CN249" s="8">
        <v>123</v>
      </c>
      <c r="CO249" s="49">
        <v>0.05</v>
      </c>
      <c r="CP249" s="17">
        <v>-3.1615710139535199E-3</v>
      </c>
      <c r="CQ249" s="17">
        <v>7.5322555622842442E-3</v>
      </c>
      <c r="CR249" s="17">
        <v>3.8284622839004655E-2</v>
      </c>
      <c r="CS249" s="16">
        <f t="shared" si="46"/>
        <v>9.2655307387335378E-2</v>
      </c>
    </row>
    <row r="250" spans="1:97" ht="15.75" x14ac:dyDescent="0.5">
      <c r="A250" s="47" t="s">
        <v>248</v>
      </c>
      <c r="B250" s="33">
        <v>0.05</v>
      </c>
      <c r="C250" s="34">
        <v>5.2562539256541488E-2</v>
      </c>
      <c r="D250" s="37" t="s">
        <v>249</v>
      </c>
      <c r="E250" s="36" t="s">
        <v>249</v>
      </c>
      <c r="I250" s="17" t="s">
        <v>250</v>
      </c>
      <c r="J250" s="63" t="s">
        <v>251</v>
      </c>
      <c r="K250" s="63"/>
      <c r="L250" s="18"/>
      <c r="M250" s="18"/>
      <c r="N250" s="18">
        <f>L249/N249-1</f>
        <v>1.8405349705237883E-2</v>
      </c>
      <c r="O250" s="18">
        <f>M249/O249-1</f>
        <v>2.0709832194344635E-2</v>
      </c>
      <c r="P250" s="18">
        <f t="shared" ref="P250:AS250" si="53">N249/P249-1</f>
        <v>2.2480708118509884E-2</v>
      </c>
      <c r="Q250" s="18">
        <f t="shared" si="53"/>
        <v>2.4166244816891114E-2</v>
      </c>
      <c r="R250" s="18">
        <f t="shared" si="53"/>
        <v>2.5769725368030683E-2</v>
      </c>
      <c r="S250" s="18">
        <f t="shared" si="53"/>
        <v>2.7294325827311949E-2</v>
      </c>
      <c r="T250" s="18">
        <f t="shared" si="53"/>
        <v>2.8743117789756578E-2</v>
      </c>
      <c r="U250" s="18">
        <f t="shared" si="53"/>
        <v>3.0119070962416172E-2</v>
      </c>
      <c r="V250" s="18">
        <f t="shared" si="53"/>
        <v>3.142505573852894E-2</v>
      </c>
      <c r="W250" s="18">
        <f t="shared" si="53"/>
        <v>3.2663845766382371E-2</v>
      </c>
      <c r="X250" s="18">
        <f t="shared" si="53"/>
        <v>3.3838120506629821E-2</v>
      </c>
      <c r="Y250" s="18">
        <f t="shared" si="53"/>
        <v>3.4950467772458138E-2</v>
      </c>
      <c r="Z250" s="18">
        <f t="shared" si="53"/>
        <v>3.6003386247642988E-2</v>
      </c>
      <c r="AA250" s="18">
        <f t="shared" si="53"/>
        <v>3.6999287978162432E-2</v>
      </c>
      <c r="AB250" s="18">
        <f t="shared" si="53"/>
        <v>3.7940500833491875E-2</v>
      </c>
      <c r="AC250" s="18">
        <f t="shared" si="53"/>
        <v>3.8829270934226168E-2</v>
      </c>
      <c r="AD250" s="18">
        <f t="shared" si="53"/>
        <v>3.9667765043152059E-2</v>
      </c>
      <c r="AE250" s="18">
        <f t="shared" si="53"/>
        <v>4.0458072917247456E-2</v>
      </c>
      <c r="AF250" s="18">
        <f t="shared" si="53"/>
        <v>4.1202209618476759E-2</v>
      </c>
      <c r="AG250" s="18">
        <f t="shared" si="53"/>
        <v>4.1902117781557946E-2</v>
      </c>
      <c r="AH250" s="18">
        <f t="shared" si="53"/>
        <v>4.255966983727566E-2</v>
      </c>
      <c r="AI250" s="18">
        <f t="shared" si="53"/>
        <v>4.3176670190047339E-2</v>
      </c>
      <c r="AJ250" s="18">
        <f t="shared" si="53"/>
        <v>4.3754857348807352E-2</v>
      </c>
      <c r="AK250" s="18">
        <f t="shared" si="53"/>
        <v>4.4295906010516362E-2</v>
      </c>
      <c r="AL250" s="18">
        <f t="shared" si="53"/>
        <v>4.4801429095675971E-2</v>
      </c>
      <c r="AM250" s="18">
        <f t="shared" si="53"/>
        <v>4.5272979735556218E-2</v>
      </c>
      <c r="AN250" s="18">
        <f t="shared" si="53"/>
        <v>4.5712053210945625E-2</v>
      </c>
      <c r="AO250" s="18">
        <f t="shared" si="53"/>
        <v>4.6120088842386719E-2</v>
      </c>
      <c r="AP250" s="18">
        <f t="shared" si="53"/>
        <v>4.6498471831991406E-2</v>
      </c>
      <c r="AQ250" s="18">
        <f t="shared" si="53"/>
        <v>4.6848535057038676E-2</v>
      </c>
      <c r="AR250" s="18">
        <f t="shared" si="53"/>
        <v>4.7171560815723046E-2</v>
      </c>
      <c r="AS250" s="18">
        <f t="shared" si="53"/>
        <v>4.7468782525424968E-2</v>
      </c>
      <c r="AT250" s="18">
        <f t="shared" ref="AT250:BY250" si="54">AR249/AT249-1</f>
        <v>4.7741386374017036E-2</v>
      </c>
      <c r="AU250" s="18">
        <f t="shared" si="54"/>
        <v>4.7990512924780404E-2</v>
      </c>
      <c r="AV250" s="18">
        <f t="shared" si="54"/>
        <v>4.8217258675573804E-2</v>
      </c>
      <c r="AW250" s="18">
        <f t="shared" si="54"/>
        <v>4.8422677572943496E-2</v>
      </c>
      <c r="AX250" s="18">
        <f t="shared" si="54"/>
        <v>4.8607782481843165E-2</v>
      </c>
      <c r="AY250" s="18">
        <f t="shared" si="54"/>
        <v>4.8773546611856622E-2</v>
      </c>
      <c r="AZ250" s="18">
        <f t="shared" si="54"/>
        <v>4.8920904900681128E-2</v>
      </c>
      <c r="BA250" s="18">
        <f t="shared" si="54"/>
        <v>4.9050755355618536E-2</v>
      </c>
      <c r="BB250" s="18">
        <f t="shared" si="54"/>
        <v>4.9163960354080327E-2</v>
      </c>
      <c r="BC250" s="18">
        <f t="shared" si="54"/>
        <v>4.9261347903952535E-2</v>
      </c>
      <c r="BD250" s="18">
        <f t="shared" si="54"/>
        <v>4.9343712864562184E-2</v>
      </c>
      <c r="BE250" s="18">
        <f t="shared" si="54"/>
        <v>4.9411818129373453E-2</v>
      </c>
      <c r="BF250" s="18">
        <f t="shared" si="54"/>
        <v>4.9466395771152083E-2</v>
      </c>
      <c r="BG250" s="18">
        <f t="shared" si="54"/>
        <v>4.9508148150575026E-2</v>
      </c>
      <c r="BH250" s="18">
        <f t="shared" si="54"/>
        <v>4.9537748989215036E-2</v>
      </c>
      <c r="BI250" s="18">
        <f t="shared" si="54"/>
        <v>4.955584440771843E-2</v>
      </c>
      <c r="BJ250" s="18">
        <f t="shared" si="54"/>
        <v>4.9563053930248735E-2</v>
      </c>
      <c r="BK250" s="18">
        <f t="shared" si="54"/>
        <v>4.9559971455874097E-2</v>
      </c>
      <c r="BL250" s="18">
        <f t="shared" si="54"/>
        <v>4.9547166197970505E-2</v>
      </c>
      <c r="BM250" s="18">
        <f t="shared" si="54"/>
        <v>4.9525183592479483E-2</v>
      </c>
      <c r="BN250" s="18">
        <f t="shared" si="54"/>
        <v>4.949454617579474E-2</v>
      </c>
      <c r="BO250" s="18">
        <f t="shared" si="54"/>
        <v>4.945575443327499E-2</v>
      </c>
      <c r="BP250" s="18">
        <f t="shared" si="54"/>
        <v>4.9409287619135434E-2</v>
      </c>
      <c r="BQ250" s="18">
        <f t="shared" si="54"/>
        <v>4.9355604548574128E-2</v>
      </c>
      <c r="BR250" s="18">
        <f t="shared" si="54"/>
        <v>4.929514436296123E-2</v>
      </c>
      <c r="BS250" s="18">
        <f t="shared" si="54"/>
        <v>4.9228327268891592E-2</v>
      </c>
      <c r="BT250" s="18">
        <f t="shared" si="54"/>
        <v>4.9155555251864103E-2</v>
      </c>
      <c r="BU250" s="18">
        <f t="shared" si="54"/>
        <v>4.9077212765361589E-2</v>
      </c>
      <c r="BV250" s="18">
        <f t="shared" si="54"/>
        <v>4.8993667396152185E-2</v>
      </c>
      <c r="BW250" s="18">
        <f t="shared" si="54"/>
        <v>4.890527050641591E-2</v>
      </c>
      <c r="BX250" s="18">
        <f t="shared" si="54"/>
        <v>4.8812357853530663E-2</v>
      </c>
      <c r="BY250" s="18">
        <f t="shared" si="54"/>
        <v>4.8715250188222647E-2</v>
      </c>
      <c r="BZ250" s="18">
        <f t="shared" ref="BZ250:CK250" si="55">BX249/BZ249-1</f>
        <v>4.8614253831616772E-2</v>
      </c>
      <c r="CA250" s="18">
        <f t="shared" si="55"/>
        <v>4.8509661232060797E-2</v>
      </c>
      <c r="CB250" s="18">
        <f t="shared" si="55"/>
        <v>4.8401751502257229E-2</v>
      </c>
      <c r="CC250" s="18">
        <f t="shared" si="55"/>
        <v>4.8290790937326911E-2</v>
      </c>
      <c r="CD250" s="18">
        <f t="shared" si="55"/>
        <v>4.8177033514453127E-2</v>
      </c>
      <c r="CE250" s="18">
        <f t="shared" si="55"/>
        <v>4.8060721374758142E-2</v>
      </c>
      <c r="CF250" s="18">
        <f t="shared" si="55"/>
        <v>4.7942085287886238E-2</v>
      </c>
      <c r="CG250" s="18">
        <f t="shared" si="55"/>
        <v>4.7821345099928081E-2</v>
      </c>
      <c r="CH250" s="18">
        <f t="shared" si="55"/>
        <v>4.769871016529148E-2</v>
      </c>
      <c r="CI250" s="18">
        <f t="shared" si="55"/>
        <v>4.7574379762868491E-2</v>
      </c>
      <c r="CJ250" s="18">
        <f t="shared" si="55"/>
        <v>4.744854349728711E-2</v>
      </c>
      <c r="CK250" s="18">
        <f t="shared" si="55"/>
        <v>4.7321381685502928E-2</v>
      </c>
      <c r="CN250" s="8">
        <v>123.5</v>
      </c>
      <c r="CO250" s="49">
        <v>0.05</v>
      </c>
      <c r="CP250" s="17">
        <v>-3.1488572046724696E-3</v>
      </c>
      <c r="CQ250" s="17">
        <v>7.5031930928980677E-3</v>
      </c>
      <c r="CR250" s="17">
        <v>3.8213820487105088E-2</v>
      </c>
      <c r="CS250" s="16">
        <f t="shared" si="46"/>
        <v>9.2568156375330696E-2</v>
      </c>
    </row>
    <row r="251" spans="1:97" ht="15.75" x14ac:dyDescent="0.5">
      <c r="A251" s="47" t="s">
        <v>252</v>
      </c>
      <c r="B251" s="33">
        <v>-0.05</v>
      </c>
      <c r="C251" s="34">
        <v>0.14445250682830943</v>
      </c>
      <c r="D251" s="37">
        <v>8.391483739848546</v>
      </c>
      <c r="E251" s="36">
        <f ca="1">SQRT(SUMSQ(E3:E231)/COUNT(E3:E231))</f>
        <v>8.5590365972533361E-2</v>
      </c>
      <c r="J251" s="64" t="s">
        <v>253</v>
      </c>
      <c r="K251" s="63"/>
      <c r="N251" s="16">
        <f>N250-[3]NSS!N250</f>
        <v>3.8507625787416178E-3</v>
      </c>
      <c r="O251" s="16">
        <f>O250-[3]NSS!O250</f>
        <v>5.0934518589456079E-3</v>
      </c>
      <c r="P251" s="16">
        <f>P250-[3]NSS!P250</f>
        <v>5.8554488424598095E-3</v>
      </c>
      <c r="Q251" s="16">
        <f>Q250-[3]NSS!Q250</f>
        <v>6.2720590476241789E-3</v>
      </c>
      <c r="R251" s="16">
        <f>R250-[3]NSS!R250</f>
        <v>6.4152642156258821E-3</v>
      </c>
      <c r="S251" s="16">
        <f>S250-[3]NSS!S250</f>
        <v>6.3450579214971992E-3</v>
      </c>
      <c r="T251" s="16">
        <f>T250-[3]NSS!T250</f>
        <v>6.1112423475606636E-3</v>
      </c>
      <c r="U251" s="16">
        <f>U250-[3]NSS!U250</f>
        <v>5.754962366810723E-3</v>
      </c>
      <c r="V251" s="16">
        <f>V250-[3]NSS!V250</f>
        <v>5.3100180476521874E-3</v>
      </c>
      <c r="W251" s="16">
        <f>W250-[3]NSS!W250</f>
        <v>4.8039891067399587E-3</v>
      </c>
      <c r="X251" s="16">
        <f>X250-[3]NSS!X250</f>
        <v>4.2591989449864975E-3</v>
      </c>
      <c r="Y251" s="16">
        <f>Y250-[3]NSS!Y250</f>
        <v>3.6935412750209728E-3</v>
      </c>
      <c r="Z251" s="16">
        <f>Z250-[3]NSS!Z250</f>
        <v>3.1211886719215709E-3</v>
      </c>
      <c r="AA251" s="16">
        <f>AA250-[3]NSS!AA250</f>
        <v>2.5531994212770748E-3</v>
      </c>
      <c r="AB251" s="16">
        <f>AB250-[3]NSS!AB250</f>
        <v>1.9980366290166529E-3</v>
      </c>
      <c r="AC251" s="16">
        <f>AC250-[3]NSS!AC250</f>
        <v>1.4620115704622183E-3</v>
      </c>
      <c r="AD251" s="16">
        <f>AD250-[3]NSS!AD250</f>
        <v>9.4966159857734489E-4</v>
      </c>
      <c r="AE251" s="16">
        <f>AE250-[3]NSS!AE250</f>
        <v>4.6407153423277947E-4</v>
      </c>
      <c r="AF251" s="16">
        <f>AF250-[3]NSS!AF250</f>
        <v>7.1462729043236806E-6</v>
      </c>
      <c r="AG251" s="16">
        <f>AG250-[3]NSS!AG250</f>
        <v>-4.2015867650269101E-4</v>
      </c>
      <c r="AH251" s="16">
        <f>AH250-[3]NSS!AH250</f>
        <v>-8.1764288369390314E-4</v>
      </c>
      <c r="AI251" s="16">
        <f>AI250-[3]NSS!AI250</f>
        <v>-1.185697844790834E-3</v>
      </c>
      <c r="AJ251" s="16">
        <f>AJ250-[3]NSS!AJ250</f>
        <v>-1.5251705735164212E-3</v>
      </c>
      <c r="AK251" s="16">
        <f>AK250-[3]NSS!AK250</f>
        <v>-1.8372501016157283E-3</v>
      </c>
      <c r="AL251" s="16">
        <f>AL250-[3]NSS!AL250</f>
        <v>-2.1233735597716574E-3</v>
      </c>
      <c r="AM251" s="16">
        <f>AM250-[3]NSS!AM250</f>
        <v>-2.3851489521868885E-3</v>
      </c>
      <c r="AN251" s="16">
        <f>AN250-[3]NSS!AN250</f>
        <v>-2.6242921247694451E-3</v>
      </c>
      <c r="AO251" s="16">
        <f>AO250-[3]NSS!AO250</f>
        <v>-2.8425757651204808E-3</v>
      </c>
      <c r="AP251" s="16">
        <f>AP250-[3]NSS!AP250</f>
        <v>-3.0417885683711177E-3</v>
      </c>
      <c r="AQ251" s="16">
        <f>AQ250-[3]NSS!AQ250</f>
        <v>-3.2237029612536272E-3</v>
      </c>
      <c r="AR251" s="16">
        <f>AR250-[3]NSS!AR250</f>
        <v>-3.3900500020860314E-3</v>
      </c>
      <c r="AS251" s="16">
        <f>AS250-[3]NSS!AS250</f>
        <v>-3.5425002708999731E-3</v>
      </c>
      <c r="AT251" s="16">
        <f>AT250-[3]NSS!AT250</f>
        <v>-3.6826497346622578E-3</v>
      </c>
      <c r="AU251" s="16">
        <f>AU250-[3]NSS!AU250</f>
        <v>-3.8120097209419779E-3</v>
      </c>
      <c r="AV251" s="16">
        <f>AV250-[3]NSS!AV250</f>
        <v>-3.9320002620815142E-3</v>
      </c>
      <c r="AW251" s="16">
        <f>AW250-[3]NSS!AW250</f>
        <v>-4.0439461832522117E-3</v>
      </c>
      <c r="AX251" s="16">
        <f>AX250-[3]NSS!AX250</f>
        <v>-4.1490754039488209E-3</v>
      </c>
      <c r="AY251" s="16">
        <f>AY250-[3]NSS!AY250</f>
        <v>-4.2485190052992117E-3</v>
      </c>
      <c r="AZ251" s="16">
        <f>AZ250-[3]NSS!AZ250</f>
        <v>-4.3433126871381678E-3</v>
      </c>
      <c r="BA251" s="16">
        <f>BA250-[3]NSS!BA250</f>
        <v>-4.4343992998259196E-3</v>
      </c>
      <c r="BB251" s="16">
        <f>BB250-[3]NSS!BB250</f>
        <v>-4.5226321882785303E-3</v>
      </c>
      <c r="BC251" s="16">
        <f>BC250-[3]NSS!BC250</f>
        <v>-4.6087791305691184E-3</v>
      </c>
      <c r="BD251" s="16">
        <f>BD250-[3]NSS!BD250</f>
        <v>-4.693526691772032E-3</v>
      </c>
      <c r="BE251" s="16">
        <f>BE250-[3]NSS!BE250</f>
        <v>-4.7774848458927988E-3</v>
      </c>
      <c r="BF251" s="16">
        <f>BF250-[3]NSS!BF250</f>
        <v>-4.8611917466285792E-3</v>
      </c>
      <c r="BG251" s="16">
        <f>BG250-[3]NSS!BG250</f>
        <v>-4.9451185508095907E-3</v>
      </c>
      <c r="BH251" s="16">
        <f>BH250-[3]NSS!BH250</f>
        <v>-5.0296742179287701E-3</v>
      </c>
      <c r="BI251" s="16">
        <f>BI250-[3]NSS!BI250</f>
        <v>-5.1152102259168775E-3</v>
      </c>
      <c r="BJ251" s="16">
        <f>BJ250-[3]NSS!BJ250</f>
        <v>-5.2020251566471387E-3</v>
      </c>
      <c r="BK251" s="16">
        <f>BK250-[3]NSS!BK250</f>
        <v>-5.2903691166057421E-3</v>
      </c>
      <c r="BL251" s="16">
        <f>BL250-[3]NSS!BL250</f>
        <v>-5.3804479672798777E-3</v>
      </c>
      <c r="BM251" s="16">
        <f>BM250-[3]NSS!BM250</f>
        <v>-5.4724273477513297E-3</v>
      </c>
      <c r="BN251" s="16">
        <f>BN250-[3]NSS!BN250</f>
        <v>-5.5664364785130704E-3</v>
      </c>
      <c r="BO251" s="16">
        <f>BO250-[3]NSS!BO250</f>
        <v>-5.6625717404570342E-3</v>
      </c>
      <c r="BP251" s="16">
        <f>BP250-[3]NSS!BP250</f>
        <v>-5.7609000273932676E-3</v>
      </c>
      <c r="BQ251" s="16">
        <f>BQ250-[3]NSS!BQ250</f>
        <v>-5.8614618736059221E-3</v>
      </c>
      <c r="BR251" s="16">
        <f>BR250-[3]NSS!BR250</f>
        <v>-5.964274360620303E-3</v>
      </c>
      <c r="BS251" s="16">
        <f>BS250-[3]NSS!BS250</f>
        <v>-6.0693338093653626E-3</v>
      </c>
      <c r="BT251" s="16">
        <f>BT250-[3]NSS!BT250</f>
        <v>-6.1766182654243718E-3</v>
      </c>
      <c r="BU251" s="16">
        <f>BU250-[3]NSS!BU250</f>
        <v>-6.2860897860139708E-3</v>
      </c>
      <c r="BV251" s="16">
        <f>BV250-[3]NSS!BV250</f>
        <v>-6.3976965382415152E-3</v>
      </c>
      <c r="BW251" s="16">
        <f>BW250-[3]NSS!BW250</f>
        <v>-6.5113747187171001E-3</v>
      </c>
      <c r="BX251" s="16">
        <f>BX250-[3]NSS!BX250</f>
        <v>-6.627050304497395E-3</v>
      </c>
      <c r="BY251" s="16">
        <f>BY250-[3]NSS!BY250</f>
        <v>-6.7446406457791763E-3</v>
      </c>
      <c r="BZ251" s="16">
        <f>BZ250-[3]NSS!BZ250</f>
        <v>-6.8640559105892507E-3</v>
      </c>
      <c r="CA251" s="16">
        <f>CA250-[3]NSS!CA250</f>
        <v>-6.9852003912682648E-3</v>
      </c>
      <c r="CB251" s="16">
        <f>CB250-[3]NSS!CB250</f>
        <v>-7.1079736825923057E-3</v>
      </c>
      <c r="CC251" s="16">
        <f>CC250-[3]NSS!CC250</f>
        <v>-7.2322717409518678E-3</v>
      </c>
      <c r="CD251" s="16">
        <f>CD250-[3]NSS!CD250</f>
        <v>-7.3579878335017224E-3</v>
      </c>
      <c r="CE251" s="16">
        <f>CE250-[3]NSS!CE250</f>
        <v>-7.4850133857202739E-3</v>
      </c>
      <c r="CF251" s="16">
        <f>CF250-[3]NSS!CF250</f>
        <v>-7.6132387357283893E-3</v>
      </c>
      <c r="CG251" s="16">
        <f>CG250-[3]NSS!CG250</f>
        <v>-7.7425538029802787E-3</v>
      </c>
      <c r="CH251" s="16">
        <f>CH250-[3]NSS!CH250</f>
        <v>-7.872848678267097E-3</v>
      </c>
      <c r="CI251" s="16">
        <f>CI250-[3]NSS!CI250</f>
        <v>-8.0040141421873212E-3</v>
      </c>
      <c r="CJ251" s="16">
        <f>CJ250-[3]NSS!CJ250</f>
        <v>-8.1359421181441682E-3</v>
      </c>
      <c r="CK251" s="16">
        <f>CK250-[3]NSS!CK250</f>
        <v>-8.2685260657184845E-3</v>
      </c>
      <c r="CN251" s="8">
        <v>124</v>
      </c>
      <c r="CO251" s="49">
        <v>0.05</v>
      </c>
      <c r="CP251" s="17">
        <v>-3.1362435468983317E-3</v>
      </c>
      <c r="CQ251" s="17">
        <v>7.474331029071718E-3</v>
      </c>
      <c r="CR251" s="17">
        <v>3.8142892282906134E-2</v>
      </c>
      <c r="CS251" s="16">
        <f t="shared" si="46"/>
        <v>9.2480979765079518E-2</v>
      </c>
    </row>
    <row r="252" spans="1:97" ht="14.65" x14ac:dyDescent="0.45">
      <c r="A252" s="47" t="s">
        <v>254</v>
      </c>
      <c r="B252" s="38">
        <v>5</v>
      </c>
      <c r="C252" s="39">
        <v>17.764509970906747</v>
      </c>
      <c r="D252" s="37" t="s">
        <v>255</v>
      </c>
      <c r="E252" s="36" t="s">
        <v>255</v>
      </c>
      <c r="CN252" s="8">
        <v>124.5</v>
      </c>
      <c r="CO252" s="49">
        <v>0.05</v>
      </c>
      <c r="CP252" s="17">
        <v>-3.1237288997529762E-3</v>
      </c>
      <c r="CQ252" s="17">
        <v>7.4456677397104817E-3</v>
      </c>
      <c r="CR252" s="17">
        <v>3.8071844169202715E-2</v>
      </c>
      <c r="CS252" s="16">
        <f t="shared" si="46"/>
        <v>9.2393783009160235E-2</v>
      </c>
    </row>
    <row r="253" spans="1:97" ht="14.65" x14ac:dyDescent="0.45">
      <c r="A253" s="47" t="s">
        <v>256</v>
      </c>
      <c r="B253" s="38">
        <v>10</v>
      </c>
      <c r="C253" s="39">
        <v>40.344667267924514</v>
      </c>
      <c r="D253" s="37">
        <v>6334.9423232340532</v>
      </c>
      <c r="E253" s="36">
        <f ca="1">SQRT(SUMSQ(I3:I236)/COUNT(I3:I236))*1000000</f>
        <v>251.98526106278618</v>
      </c>
      <c r="CN253" s="8">
        <v>125</v>
      </c>
      <c r="CO253" s="49">
        <v>0.05</v>
      </c>
      <c r="CP253" s="17">
        <v>-3.1113121387943703E-3</v>
      </c>
      <c r="CQ253" s="17">
        <v>7.4172016024609665E-3</v>
      </c>
      <c r="CR253" s="17">
        <v>3.8000681989967262E-2</v>
      </c>
      <c r="CS253" s="16">
        <f t="shared" si="46"/>
        <v>9.2306571453633857E-2</v>
      </c>
    </row>
    <row r="254" spans="1:97" x14ac:dyDescent="0.45">
      <c r="E254" s="36" t="s">
        <v>257</v>
      </c>
      <c r="CN254" s="8">
        <v>125.5</v>
      </c>
      <c r="CO254" s="49">
        <v>0.05</v>
      </c>
      <c r="CP254" s="17">
        <v>-3.0989921557394145E-3</v>
      </c>
      <c r="CQ254" s="17">
        <v>7.3889310038978756E-3</v>
      </c>
      <c r="CR254" s="17">
        <v>3.7929411491743753E-2</v>
      </c>
      <c r="CS254" s="16">
        <f t="shared" si="46"/>
        <v>9.2219350339902223E-2</v>
      </c>
    </row>
    <row r="255" spans="1:97" x14ac:dyDescent="0.45">
      <c r="E255" s="36" cm="1">
        <f t="array" aca="1" ref="E255" ca="1">AVERAGE(ABS(G3:G15-H3:H15))*1000000</f>
        <v>360.91015453746462</v>
      </c>
      <c r="CN255" s="8">
        <v>126</v>
      </c>
      <c r="CO255" s="49">
        <v>0.05</v>
      </c>
      <c r="CP255" s="17">
        <v>-3.0867678581919947E-3</v>
      </c>
      <c r="CQ255" s="17">
        <v>7.360854339699666E-3</v>
      </c>
      <c r="CR255" s="17">
        <v>3.7858038325023352E-2</v>
      </c>
      <c r="CS255" s="16">
        <f t="shared" si="46"/>
        <v>9.2132124806531018E-2</v>
      </c>
    </row>
    <row r="256" spans="1:97" x14ac:dyDescent="0.45">
      <c r="AV256" s="55"/>
      <c r="AW256" s="55"/>
      <c r="AX256" s="55"/>
      <c r="AY256" s="55"/>
      <c r="CN256" s="8">
        <v>126.5</v>
      </c>
      <c r="CO256" s="8">
        <v>0.05</v>
      </c>
      <c r="CP256" s="8">
        <v>-3.0746381693761405E-3</v>
      </c>
      <c r="CQ256" s="49">
        <v>7.3329700148134606E-3</v>
      </c>
      <c r="CR256" s="17">
        <v>3.7786568045601689E-2</v>
      </c>
      <c r="CS256" s="16">
        <f t="shared" si="46"/>
        <v>9.2044899891039006E-2</v>
      </c>
    </row>
    <row r="257" spans="50:97" x14ac:dyDescent="0.45">
      <c r="BB257" s="55"/>
      <c r="BC257" s="8" t="str">
        <f>_xlfn.CONCAT(AZ257:AZ334)</f>
        <v xml:space="preserve">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</v>
      </c>
      <c r="CN257" s="8">
        <v>127</v>
      </c>
      <c r="CO257" s="8">
        <v>0.05</v>
      </c>
      <c r="CP257" s="8">
        <v>-3.062602027874178E-3</v>
      </c>
      <c r="CQ257" s="49">
        <v>7.3052764436096155E-3</v>
      </c>
      <c r="CR257" s="17">
        <v>3.7715006115918097E-2</v>
      </c>
      <c r="CS257" s="16">
        <f t="shared" si="46"/>
        <v>9.1957680531653541E-2</v>
      </c>
    </row>
    <row r="258" spans="50:97" x14ac:dyDescent="0.45">
      <c r="BB258" s="55"/>
      <c r="BC258" s="8" t="str">
        <f>_xlfn.CONCAT(AX257:AX334)</f>
        <v xml:space="preserve">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(, 0) </v>
      </c>
      <c r="CN258" s="8">
        <v>127.5</v>
      </c>
      <c r="CO258" s="8">
        <v>0.05</v>
      </c>
      <c r="CP258" s="8">
        <v>-3.0506583873697864E-3</v>
      </c>
      <c r="CQ258" s="49">
        <v>7.2777720500263078E-3</v>
      </c>
      <c r="CR258" s="17">
        <v>3.7643357906377031E-2</v>
      </c>
      <c r="CS258" s="16">
        <f t="shared" si="46"/>
        <v>9.1870471569033552E-2</v>
      </c>
    </row>
    <row r="259" spans="50:97" x14ac:dyDescent="0.45">
      <c r="AX259" s="8" t="str">
        <f t="shared" ref="AX259:AX321" si="56">"("&amp;AV259&amp;", "&amp;ROUND(AW259*100,2)&amp;") "</f>
        <v xml:space="preserve">(, 0) </v>
      </c>
      <c r="AZ259" s="8" t="str">
        <f t="shared" ref="AZ259:AZ288" si="57">"("&amp;AV259&amp;", "&amp;ROUND(AY259*100,2)&amp;") "</f>
        <v xml:space="preserve">(, 0) </v>
      </c>
      <c r="CN259" s="8">
        <v>128</v>
      </c>
      <c r="CO259" s="8">
        <v>0.05</v>
      </c>
      <c r="CP259" s="8">
        <v>-3.0388062163958546E-3</v>
      </c>
      <c r="CQ259" s="49">
        <v>7.2504552677045385E-3</v>
      </c>
      <c r="CR259" s="17">
        <v>3.7571628696651857E-2</v>
      </c>
      <c r="CS259" s="16">
        <f t="shared" si="46"/>
        <v>9.1783277747960537E-2</v>
      </c>
    </row>
    <row r="260" spans="50:97" x14ac:dyDescent="0.45">
      <c r="AX260" s="8" t="str">
        <f t="shared" si="56"/>
        <v xml:space="preserve">(, 0) </v>
      </c>
      <c r="AZ260" s="8" t="str">
        <f t="shared" si="57"/>
        <v xml:space="preserve">(, 0) </v>
      </c>
      <c r="CN260" s="8">
        <v>128.5</v>
      </c>
      <c r="CO260" s="8">
        <v>0.05</v>
      </c>
      <c r="CP260" s="8">
        <v>-3.0270444980870391E-3</v>
      </c>
      <c r="CQ260" s="49">
        <v>7.2233245401138691E-3</v>
      </c>
      <c r="CR260" s="17">
        <v>3.7499823676971307E-2</v>
      </c>
      <c r="CS260" s="16">
        <f t="shared" si="46"/>
        <v>9.169610371899814E-2</v>
      </c>
    </row>
    <row r="261" spans="50:97" x14ac:dyDescent="0.45">
      <c r="AX261" s="8" t="str">
        <f t="shared" si="56"/>
        <v xml:space="preserve">(, 0) </v>
      </c>
      <c r="AZ261" s="8" t="str">
        <f t="shared" si="57"/>
        <v xml:space="preserve">(, 0) </v>
      </c>
      <c r="CN261" s="8">
        <v>129</v>
      </c>
      <c r="CO261" s="8">
        <v>0.05</v>
      </c>
      <c r="CP261" s="8">
        <v>-3.0153722299369324E-3</v>
      </c>
      <c r="CQ261" s="49">
        <v>7.1963783206692514E-3</v>
      </c>
      <c r="CR261" s="17">
        <v>3.7427947949388793E-2</v>
      </c>
      <c r="CS261" s="16">
        <f t="shared" si="46"/>
        <v>9.1608954040121121E-2</v>
      </c>
    </row>
    <row r="262" spans="50:97" x14ac:dyDescent="0.45">
      <c r="AX262" s="8" t="str">
        <f t="shared" si="56"/>
        <v xml:space="preserve">(, 0) </v>
      </c>
      <c r="AZ262" s="8" t="str">
        <f t="shared" si="57"/>
        <v xml:space="preserve">(, 0) </v>
      </c>
      <c r="CN262" s="8">
        <v>129.5</v>
      </c>
      <c r="CO262" s="8">
        <v>0.05</v>
      </c>
      <c r="CP262" s="8">
        <v>-3.0037884235597457E-3</v>
      </c>
      <c r="CQ262" s="49">
        <v>7.1696150728392926E-3</v>
      </c>
      <c r="CR262" s="17">
        <v>3.7356006529034751E-2</v>
      </c>
      <c r="CS262" s="16">
        <f t="shared" ref="CS262:CS325" si="58">SUM(CO262:CR262)</f>
        <v>9.1521833178314305E-2</v>
      </c>
    </row>
    <row r="263" spans="50:97" x14ac:dyDescent="0.45">
      <c r="AX263" s="8" t="str">
        <f t="shared" si="56"/>
        <v xml:space="preserve">(, 0) </v>
      </c>
      <c r="AZ263" s="8" t="str">
        <f t="shared" si="57"/>
        <v xml:space="preserve">(, 0) </v>
      </c>
      <c r="CN263" s="8">
        <v>130</v>
      </c>
      <c r="CO263" s="8">
        <v>0.05</v>
      </c>
      <c r="CP263" s="8">
        <v>-2.9922921044564141E-3</v>
      </c>
      <c r="CQ263" s="49">
        <v>7.1430332702462386E-3</v>
      </c>
      <c r="CR263" s="17">
        <v>3.728400434535236E-2</v>
      </c>
      <c r="CS263" s="16">
        <f t="shared" si="58"/>
        <v>9.1434745511142196E-2</v>
      </c>
    </row>
    <row r="264" spans="50:97" x14ac:dyDescent="0.45">
      <c r="AX264" s="8" t="str">
        <f t="shared" si="56"/>
        <v xml:space="preserve">(, 0) </v>
      </c>
      <c r="AZ264" s="8" t="str">
        <f t="shared" si="57"/>
        <v xml:space="preserve">(, 0) </v>
      </c>
      <c r="CN264" s="8">
        <v>130.5</v>
      </c>
      <c r="CO264" s="8">
        <v>0.05</v>
      </c>
      <c r="CP264" s="8">
        <v>-2.9808823117850438E-3</v>
      </c>
      <c r="CQ264" s="49">
        <v>7.1166313967580414E-3</v>
      </c>
      <c r="CR264" s="17">
        <v>3.7211946243316696E-2</v>
      </c>
      <c r="CS264" s="16">
        <f t="shared" si="58"/>
        <v>9.1347695328289694E-2</v>
      </c>
    </row>
    <row r="265" spans="50:97" x14ac:dyDescent="0.45">
      <c r="AX265" s="8" t="str">
        <f t="shared" si="56"/>
        <v xml:space="preserve">(, 0) </v>
      </c>
      <c r="AZ265" s="8" t="str">
        <f t="shared" si="57"/>
        <v xml:space="preserve">(, 0) </v>
      </c>
      <c r="CN265" s="8">
        <v>131</v>
      </c>
      <c r="CO265" s="8">
        <v>0.05</v>
      </c>
      <c r="CP265" s="8">
        <v>-2.9695580981356023E-3</v>
      </c>
      <c r="CQ265" s="49">
        <v>7.0904079465727637E-3</v>
      </c>
      <c r="CR265" s="17">
        <v>3.7139836984637652E-2</v>
      </c>
      <c r="CS265" s="16">
        <f t="shared" si="58"/>
        <v>9.1260686833074811E-2</v>
      </c>
    </row>
    <row r="266" spans="50:97" x14ac:dyDescent="0.45">
      <c r="AX266" s="8" t="str">
        <f t="shared" si="56"/>
        <v xml:space="preserve">(, 0) </v>
      </c>
      <c r="AZ266" s="8" t="str">
        <f t="shared" si="57"/>
        <v xml:space="preserve">(, 0) </v>
      </c>
      <c r="CN266" s="8">
        <v>131.5</v>
      </c>
      <c r="CO266" s="8">
        <v>0.05</v>
      </c>
      <c r="CP266" s="8">
        <v>-2.9583185293087723E-3</v>
      </c>
      <c r="CQ266" s="49">
        <v>7.0643614242956124E-3</v>
      </c>
      <c r="CR266" s="17">
        <v>3.7067681248946847E-2</v>
      </c>
      <c r="CS266" s="16">
        <f t="shared" si="58"/>
        <v>9.1173724143933682E-2</v>
      </c>
    </row>
    <row r="267" spans="50:97" x14ac:dyDescent="0.45">
      <c r="AX267" s="8" t="str">
        <f t="shared" si="56"/>
        <v xml:space="preserve">(, 0) </v>
      </c>
      <c r="AZ267" s="8" t="str">
        <f t="shared" si="57"/>
        <v xml:space="preserve">(, 0) </v>
      </c>
      <c r="CN267" s="8">
        <v>132</v>
      </c>
      <c r="CO267" s="8">
        <v>0.05</v>
      </c>
      <c r="CP267" s="8">
        <v>-2.9471626840988905E-3</v>
      </c>
      <c r="CQ267" s="49">
        <v>7.0384903450089421E-3</v>
      </c>
      <c r="CR267" s="17">
        <v>3.6995483634968573E-2</v>
      </c>
      <c r="CS267" s="16">
        <f t="shared" si="58"/>
        <v>9.1086811295878617E-2</v>
      </c>
    </row>
    <row r="268" spans="50:97" x14ac:dyDescent="0.45">
      <c r="AX268" s="8" t="str">
        <f t="shared" si="56"/>
        <v xml:space="preserve">(, 0) </v>
      </c>
      <c r="AZ268" s="8" t="str">
        <f t="shared" si="57"/>
        <v xml:space="preserve">(, 0) </v>
      </c>
      <c r="CN268" s="8">
        <v>132.5</v>
      </c>
      <c r="CO268" s="8">
        <v>0.05</v>
      </c>
      <c r="CP268" s="8">
        <v>-2.9360896540808782E-3</v>
      </c>
      <c r="CQ268" s="49">
        <v>7.0127932343354103E-3</v>
      </c>
      <c r="CR268" s="17">
        <v>3.6923248661675137E-2</v>
      </c>
      <c r="CS268" s="16">
        <f t="shared" si="58"/>
        <v>9.0999952241929666E-2</v>
      </c>
    </row>
    <row r="269" spans="50:97" x14ac:dyDescent="0.45">
      <c r="AX269" s="8" t="str">
        <f t="shared" si="56"/>
        <v xml:space="preserve">(, 0) </v>
      </c>
      <c r="AZ269" s="8" t="str">
        <f t="shared" si="57"/>
        <v xml:space="preserve">(, 0) </v>
      </c>
      <c r="CN269" s="8">
        <v>133</v>
      </c>
      <c r="CO269" s="8">
        <v>0.05</v>
      </c>
      <c r="CP269" s="8">
        <v>-2.9250985434010942E-3</v>
      </c>
      <c r="CQ269" s="49">
        <v>6.9872686284946266E-3</v>
      </c>
      <c r="CR269" s="17">
        <v>3.6850980769426861E-2</v>
      </c>
      <c r="CS269" s="16">
        <f t="shared" si="58"/>
        <v>9.0913150854520397E-2</v>
      </c>
    </row>
    <row r="270" spans="50:97" x14ac:dyDescent="0.45">
      <c r="AX270" s="8" t="str">
        <f t="shared" si="56"/>
        <v xml:space="preserve">(, 0) </v>
      </c>
      <c r="AZ270" s="8" t="str">
        <f t="shared" si="57"/>
        <v xml:space="preserve">(, 0) </v>
      </c>
      <c r="CN270" s="8">
        <v>133.5</v>
      </c>
      <c r="CO270" s="8">
        <v>0.05</v>
      </c>
      <c r="CP270" s="8">
        <v>-2.91418846857203E-3</v>
      </c>
      <c r="CQ270" s="49">
        <v>6.9619150743534973E-3</v>
      </c>
      <c r="CR270" s="17">
        <v>3.6778684321096641E-2</v>
      </c>
      <c r="CS270" s="16">
        <f t="shared" si="58"/>
        <v>9.0826410926878112E-2</v>
      </c>
    </row>
    <row r="271" spans="50:97" x14ac:dyDescent="0.45">
      <c r="AX271" s="8" t="str">
        <f t="shared" si="56"/>
        <v xml:space="preserve">(, 0) </v>
      </c>
      <c r="AZ271" s="8" t="str">
        <f t="shared" si="57"/>
        <v xml:space="preserve">(, 0) </v>
      </c>
      <c r="CN271" s="8">
        <v>134</v>
      </c>
      <c r="CO271" s="8">
        <v>0.05</v>
      </c>
      <c r="CP271" s="8">
        <v>-2.9033585582707634E-3</v>
      </c>
      <c r="CQ271" s="49">
        <v>6.9367311294705443E-3</v>
      </c>
      <c r="CR271" s="17">
        <v>3.670636360317963E-2</v>
      </c>
      <c r="CS271" s="16">
        <f t="shared" si="58"/>
        <v>9.0739736174379415E-2</v>
      </c>
    </row>
    <row r="272" spans="50:97" x14ac:dyDescent="0.45">
      <c r="AX272" s="8" t="str">
        <f t="shared" si="56"/>
        <v xml:space="preserve">(, 0) </v>
      </c>
      <c r="AZ272" s="8" t="str">
        <f t="shared" si="57"/>
        <v xml:space="preserve">(, 0) </v>
      </c>
      <c r="CN272" s="8">
        <v>134.5</v>
      </c>
      <c r="CO272" s="8">
        <v>0.05</v>
      </c>
      <c r="CP272" s="8">
        <v>-2.8926079531411057E-3</v>
      </c>
      <c r="CQ272" s="49">
        <v>6.9117153621344254E-3</v>
      </c>
      <c r="CR272" s="17">
        <v>3.6634022826887998E-2</v>
      </c>
      <c r="CS272" s="16">
        <f t="shared" si="58"/>
        <v>9.0653130235881313E-2</v>
      </c>
    </row>
    <row r="273" spans="50:97" x14ac:dyDescent="0.45">
      <c r="AX273" s="8" t="str">
        <f t="shared" si="56"/>
        <v xml:space="preserve">(, 0) </v>
      </c>
      <c r="AZ273" s="8" t="str">
        <f t="shared" si="57"/>
        <v xml:space="preserve">(, 0) </v>
      </c>
      <c r="CN273" s="8">
        <v>135</v>
      </c>
      <c r="CO273" s="8">
        <v>0.05</v>
      </c>
      <c r="CP273" s="8">
        <v>-2.8819358055993628E-3</v>
      </c>
      <c r="CQ273" s="49">
        <v>6.8868663513968779E-3</v>
      </c>
      <c r="CR273" s="17">
        <v>3.6561666129231028E-2</v>
      </c>
      <c r="CS273" s="16">
        <f t="shared" si="58"/>
        <v>9.0566596675028546E-2</v>
      </c>
    </row>
    <row r="274" spans="50:97" x14ac:dyDescent="0.45">
      <c r="AX274" s="8" t="str">
        <f t="shared" si="56"/>
        <v xml:space="preserve">(, 0) </v>
      </c>
      <c r="AZ274" s="8" t="str">
        <f t="shared" si="57"/>
        <v xml:space="preserve">(, 0) </v>
      </c>
      <c r="CN274" s="8">
        <v>135.5</v>
      </c>
      <c r="CO274" s="8">
        <v>0.05</v>
      </c>
      <c r="CP274" s="8">
        <v>-2.8713412796436376E-3</v>
      </c>
      <c r="CQ274" s="49">
        <v>6.8621826871003294E-3</v>
      </c>
      <c r="CR274" s="17">
        <v>3.6489297574080759E-2</v>
      </c>
      <c r="CS274" s="16">
        <f t="shared" si="58"/>
        <v>9.048013898153745E-2</v>
      </c>
    </row>
    <row r="275" spans="50:97" x14ac:dyDescent="0.45">
      <c r="AX275" s="8" t="str">
        <f t="shared" si="56"/>
        <v xml:space="preserve">(, 0) </v>
      </c>
      <c r="AZ275" s="8" t="str">
        <f t="shared" si="57"/>
        <v xml:space="preserve">(, 0) </v>
      </c>
      <c r="CN275" s="8">
        <v>136</v>
      </c>
      <c r="CO275" s="8">
        <v>0.05</v>
      </c>
      <c r="CP275" s="8">
        <v>-2.8608235506666119E-3</v>
      </c>
      <c r="CQ275" s="49">
        <v>6.8376629699003575E-3</v>
      </c>
      <c r="CR275" s="17">
        <v>3.6416921153223335E-2</v>
      </c>
      <c r="CS275" s="16">
        <f t="shared" si="58"/>
        <v>9.0393760572457071E-2</v>
      </c>
    </row>
    <row r="276" spans="50:97" x14ac:dyDescent="0.45">
      <c r="AX276" s="8" t="str">
        <f t="shared" si="56"/>
        <v xml:space="preserve">(, 0) </v>
      </c>
      <c r="AZ276" s="8" t="str">
        <f t="shared" si="57"/>
        <v xml:space="preserve">(, 0) </v>
      </c>
      <c r="CN276" s="8">
        <v>136.5</v>
      </c>
      <c r="CO276" s="8">
        <v>0.05</v>
      </c>
      <c r="CP276" s="8">
        <v>-2.850381805271726E-3</v>
      </c>
      <c r="CQ276" s="49">
        <v>6.8133058112832641E-3</v>
      </c>
      <c r="CR276" s="17">
        <v>3.6344540787396289E-2</v>
      </c>
      <c r="CS276" s="16">
        <f t="shared" si="58"/>
        <v>9.030746479340783E-2</v>
      </c>
    </row>
    <row r="277" spans="50:97" x14ac:dyDescent="0.45">
      <c r="AX277" s="8" t="str">
        <f t="shared" si="56"/>
        <v xml:space="preserve">(, 0) </v>
      </c>
      <c r="AZ277" s="8" t="str">
        <f t="shared" si="57"/>
        <v xml:space="preserve">(, 0) </v>
      </c>
      <c r="CN277" s="8">
        <v>137</v>
      </c>
      <c r="CO277" s="8">
        <v>0.05</v>
      </c>
      <c r="CP277" s="8">
        <v>-2.8400152410927013E-3</v>
      </c>
      <c r="CQ277" s="49">
        <v>6.7891098335788906E-3</v>
      </c>
      <c r="CR277" s="17">
        <v>3.6272160327311891E-2</v>
      </c>
      <c r="CS277" s="16">
        <f t="shared" si="58"/>
        <v>9.0221254919798072E-2</v>
      </c>
    </row>
    <row r="278" spans="50:97" x14ac:dyDescent="0.45">
      <c r="AX278" s="8" t="str">
        <f t="shared" si="56"/>
        <v xml:space="preserve">(, 0) </v>
      </c>
      <c r="AZ278" s="8" t="str">
        <f t="shared" si="57"/>
        <v xml:space="preserve">(, 0) </v>
      </c>
      <c r="CN278" s="8">
        <v>137.5</v>
      </c>
      <c r="CO278" s="8">
        <v>0.05</v>
      </c>
      <c r="CP278" s="8">
        <v>-2.8297230666163306E-3</v>
      </c>
      <c r="CQ278" s="49">
        <v>6.765073669968937E-3</v>
      </c>
      <c r="CR278" s="17">
        <v>3.6199783554666756E-2</v>
      </c>
      <c r="CS278" s="16">
        <f t="shared" si="58"/>
        <v>9.0135134158019367E-2</v>
      </c>
    </row>
    <row r="279" spans="50:97" x14ac:dyDescent="0.45">
      <c r="AX279" s="8" t="str">
        <f t="shared" si="56"/>
        <v xml:space="preserve">(, 0) </v>
      </c>
      <c r="AZ279" s="8" t="str">
        <f t="shared" si="57"/>
        <v xml:space="preserve">(, 0) </v>
      </c>
      <c r="CN279" s="8">
        <v>138</v>
      </c>
      <c r="CO279" s="8">
        <v>0.05</v>
      </c>
      <c r="CP279" s="8">
        <v>-2.8195045010084769E-3</v>
      </c>
      <c r="CQ279" s="49">
        <v>6.74119596449093E-3</v>
      </c>
      <c r="CR279" s="17">
        <v>3.6127414183137897E-2</v>
      </c>
      <c r="CS279" s="16">
        <f t="shared" si="58"/>
        <v>9.0049105646620359E-2</v>
      </c>
    </row>
    <row r="280" spans="50:97" x14ac:dyDescent="0.45">
      <c r="AX280" s="8" t="str">
        <f t="shared" si="56"/>
        <v xml:space="preserve">(, 0) </v>
      </c>
      <c r="AZ280" s="8" t="str">
        <f t="shared" si="57"/>
        <v xml:space="preserve">(, 0) </v>
      </c>
      <c r="CN280" s="8">
        <v>138.5</v>
      </c>
      <c r="CO280" s="8">
        <v>0.05</v>
      </c>
      <c r="CP280" s="8">
        <v>-2.8093587739432165E-3</v>
      </c>
      <c r="CQ280" s="49">
        <v>6.717475372038058E-3</v>
      </c>
      <c r="CR280" s="17">
        <v>3.6055055859365449E-2</v>
      </c>
      <c r="CS280" s="16">
        <f t="shared" si="58"/>
        <v>8.99631724574603E-2</v>
      </c>
    </row>
    <row r="281" spans="50:97" x14ac:dyDescent="0.45">
      <c r="AX281" s="8" t="str">
        <f t="shared" si="56"/>
        <v xml:space="preserve">(, 0) </v>
      </c>
      <c r="AZ281" s="8" t="str">
        <f t="shared" si="57"/>
        <v xml:space="preserve">(, 0) </v>
      </c>
      <c r="CN281" s="8">
        <v>139</v>
      </c>
      <c r="CO281" s="8">
        <v>0.05</v>
      </c>
      <c r="CP281" s="8">
        <v>-2.799285125435062E-3</v>
      </c>
      <c r="CQ281" s="49">
        <v>6.6939105583549924E-3</v>
      </c>
      <c r="CR281" s="17">
        <v>3.5982712163922133E-2</v>
      </c>
      <c r="CS281" s="16">
        <f t="shared" si="58"/>
        <v>8.9877337596842063E-2</v>
      </c>
    </row>
    <row r="282" spans="50:97" x14ac:dyDescent="0.45">
      <c r="AX282" s="8" t="str">
        <f t="shared" si="56"/>
        <v xml:space="preserve">(, 0) </v>
      </c>
      <c r="AZ282" s="8" t="str">
        <f t="shared" si="57"/>
        <v xml:space="preserve">(, 0) </v>
      </c>
      <c r="CN282" s="8">
        <v>139.5</v>
      </c>
      <c r="CO282" s="8">
        <v>0.05</v>
      </c>
      <c r="CP282" s="8">
        <v>-2.7892828056742076E-3</v>
      </c>
      <c r="CQ282" s="49">
        <v>6.6705002000299433E-3</v>
      </c>
      <c r="CR282" s="17">
        <v>3.5910386612269696E-2</v>
      </c>
      <c r="CS282" s="16">
        <f t="shared" si="58"/>
        <v>8.9791604006625433E-2</v>
      </c>
    </row>
    <row r="283" spans="50:97" x14ac:dyDescent="0.45">
      <c r="AX283" s="8" t="str">
        <f t="shared" si="56"/>
        <v xml:space="preserve">(, 0) </v>
      </c>
      <c r="AZ283" s="8" t="str">
        <f t="shared" si="57"/>
        <v xml:space="preserve">(, 0) </v>
      </c>
      <c r="CN283" s="8">
        <v>140</v>
      </c>
      <c r="CO283" s="8">
        <v>0.05</v>
      </c>
      <c r="CP283" s="8">
        <v>-2.7793510748647375E-3</v>
      </c>
      <c r="CQ283" s="49">
        <v>6.6472429844830396E-3</v>
      </c>
      <c r="CR283" s="17">
        <v>3.5838082655702541E-2</v>
      </c>
      <c r="CS283" s="16">
        <f t="shared" si="58"/>
        <v>8.970597456532084E-2</v>
      </c>
    </row>
    <row r="284" spans="50:97" x14ac:dyDescent="0.45">
      <c r="AX284" s="8" t="str">
        <f t="shared" si="56"/>
        <v xml:space="preserve">(, 0) </v>
      </c>
      <c r="AZ284" s="8" t="str">
        <f t="shared" si="57"/>
        <v xml:space="preserve">(, 0) </v>
      </c>
      <c r="CN284" s="8">
        <v>140.5</v>
      </c>
      <c r="CO284" s="8">
        <v>0.05</v>
      </c>
      <c r="CP284" s="8">
        <v>-2.7694892030657356E-3</v>
      </c>
      <c r="CQ284" s="49">
        <v>6.6241376099512523E-3</v>
      </c>
      <c r="CR284" s="17">
        <v>3.5765803682278594E-2</v>
      </c>
      <c r="CS284" s="16">
        <f t="shared" si="58"/>
        <v>8.962045208916411E-2</v>
      </c>
    </row>
    <row r="285" spans="50:97" x14ac:dyDescent="0.45">
      <c r="AX285" s="8" t="str">
        <f t="shared" si="56"/>
        <v xml:space="preserve">(, 0) </v>
      </c>
      <c r="AZ285" s="8" t="str">
        <f t="shared" si="57"/>
        <v xml:space="preserve">(, 0) </v>
      </c>
      <c r="CN285" s="8">
        <v>141</v>
      </c>
      <c r="CO285" s="8">
        <v>0.05</v>
      </c>
      <c r="CP285" s="8">
        <v>-2.759696470035245E-3</v>
      </c>
      <c r="CQ285" s="49">
        <v>6.6011827854699614E-3</v>
      </c>
      <c r="CR285" s="17">
        <v>3.5693553017737689E-2</v>
      </c>
      <c r="CS285" s="16">
        <f t="shared" si="58"/>
        <v>8.9535039333172417E-2</v>
      </c>
    </row>
    <row r="286" spans="50:97" x14ac:dyDescent="0.45">
      <c r="AX286" s="8" t="str">
        <f t="shared" si="56"/>
        <v xml:space="preserve">(, 0) </v>
      </c>
      <c r="AZ286" s="8" t="str">
        <f t="shared" si="57"/>
        <v xml:space="preserve">(, 0) </v>
      </c>
      <c r="CN286" s="8">
        <v>141.5</v>
      </c>
      <c r="CO286" s="8">
        <v>0.05</v>
      </c>
      <c r="CP286" s="8">
        <v>-2.7499721650770161E-3</v>
      </c>
      <c r="CQ286" s="49">
        <v>6.5783772308513665E-3</v>
      </c>
      <c r="CR286" s="17">
        <v>3.5621333926407532E-2</v>
      </c>
      <c r="CS286" s="16">
        <f t="shared" si="58"/>
        <v>8.9449738992181893E-2</v>
      </c>
    </row>
    <row r="287" spans="50:97" x14ac:dyDescent="0.45">
      <c r="AX287" s="8" t="str">
        <f t="shared" si="56"/>
        <v xml:space="preserve">(, 0) </v>
      </c>
      <c r="AZ287" s="8" t="str">
        <f t="shared" si="57"/>
        <v xml:space="preserve">(, 0) </v>
      </c>
      <c r="CN287" s="8">
        <v>142</v>
      </c>
      <c r="CO287" s="8">
        <v>0.05</v>
      </c>
      <c r="CP287" s="8">
        <v>-2.7403155868899955E-3</v>
      </c>
      <c r="CQ287" s="49">
        <v>6.5557196766598399E-3</v>
      </c>
      <c r="CR287" s="17">
        <v>3.5549149612097576E-2</v>
      </c>
      <c r="CS287" s="16">
        <f t="shared" si="58"/>
        <v>8.9364553701867425E-2</v>
      </c>
    </row>
    <row r="288" spans="50:97" x14ac:dyDescent="0.45">
      <c r="AX288" s="8" t="str">
        <f t="shared" si="56"/>
        <v xml:space="preserve">(, 0) </v>
      </c>
      <c r="AZ288" s="8" t="str">
        <f t="shared" si="57"/>
        <v xml:space="preserve">(, 0) </v>
      </c>
      <c r="CN288" s="8">
        <v>142.5</v>
      </c>
      <c r="CO288" s="8">
        <v>0.05</v>
      </c>
      <c r="CP288" s="8">
        <v>-2.7307260434204913E-3</v>
      </c>
      <c r="CQ288" s="49">
        <v>6.5332088641843981E-3</v>
      </c>
      <c r="CR288" s="17">
        <v>3.5477003218980681E-2</v>
      </c>
      <c r="CS288" s="16">
        <f t="shared" si="58"/>
        <v>8.9279486039744588E-2</v>
      </c>
    </row>
    <row r="289" spans="50:97" x14ac:dyDescent="0.45">
      <c r="AX289" s="8" t="str">
        <f t="shared" si="56"/>
        <v xml:space="preserve">(, 0) </v>
      </c>
      <c r="AZ289" s="8" t="str">
        <f t="shared" ref="AZ289:AZ320" si="59">"("&amp;AV289&amp;", "&amp;ROUND(AY289*100,2)&amp;") "</f>
        <v xml:space="preserve">(, 0) </v>
      </c>
      <c r="CN289" s="8">
        <v>143</v>
      </c>
      <c r="CO289" s="8">
        <v>0.05</v>
      </c>
      <c r="CP289" s="8">
        <v>-2.7212028517169785E-3</v>
      </c>
      <c r="CQ289" s="49">
        <v>6.5108435454083822E-3</v>
      </c>
      <c r="CR289" s="17">
        <v>3.540489783246302E-2</v>
      </c>
      <c r="CS289" s="16">
        <f t="shared" si="58"/>
        <v>8.9194538526154415E-2</v>
      </c>
    </row>
    <row r="290" spans="50:97" x14ac:dyDescent="0.45">
      <c r="AX290" s="8" t="str">
        <f t="shared" si="56"/>
        <v xml:space="preserve">(, 0) </v>
      </c>
      <c r="AZ290" s="8" t="str">
        <f t="shared" si="59"/>
        <v xml:space="preserve">(, 0) </v>
      </c>
      <c r="CN290" s="8">
        <v>143.5</v>
      </c>
      <c r="CO290" s="8">
        <v>0.05</v>
      </c>
      <c r="CP290" s="8">
        <v>-2.7117453377874792E-3</v>
      </c>
      <c r="CQ290" s="49">
        <v>6.4886224829765315E-3</v>
      </c>
      <c r="CR290" s="17">
        <v>3.53328364800422E-2</v>
      </c>
      <c r="CS290" s="16">
        <f t="shared" si="58"/>
        <v>8.9109713625231263E-2</v>
      </c>
    </row>
    <row r="291" spans="50:97" x14ac:dyDescent="0.45">
      <c r="AX291" s="8" t="str">
        <f t="shared" si="56"/>
        <v xml:space="preserve">(, 0) </v>
      </c>
      <c r="AZ291" s="8" t="str">
        <f t="shared" si="59"/>
        <v xml:space="preserve">(, 0) </v>
      </c>
      <c r="CN291" s="8">
        <v>144</v>
      </c>
      <c r="CO291" s="8">
        <v>0.05</v>
      </c>
      <c r="CP291" s="8">
        <v>-2.7023528364594714E-3</v>
      </c>
      <c r="CQ291" s="49">
        <v>6.4665444501595271E-3</v>
      </c>
      <c r="CR291" s="17">
        <v>3.5260822132153813E-2</v>
      </c>
      <c r="CS291" s="16">
        <f t="shared" si="58"/>
        <v>8.9025013745853865E-2</v>
      </c>
    </row>
    <row r="292" spans="50:97" x14ac:dyDescent="0.45">
      <c r="AX292" s="8" t="str">
        <f t="shared" si="56"/>
        <v xml:space="preserve">(, 0) </v>
      </c>
      <c r="AZ292" s="8" t="str">
        <f t="shared" si="59"/>
        <v xml:space="preserve">(, 0) </v>
      </c>
      <c r="CN292" s="8">
        <v>144.5</v>
      </c>
      <c r="CO292" s="8">
        <v>0.05</v>
      </c>
      <c r="CP292" s="8">
        <v>-2.6930246912422848E-3</v>
      </c>
      <c r="CQ292" s="49">
        <v>6.4446082308161415E-3</v>
      </c>
      <c r="CR292" s="17">
        <v>3.518885770300649E-2</v>
      </c>
      <c r="CS292" s="16">
        <f t="shared" si="58"/>
        <v>8.8940441242580354E-2</v>
      </c>
    </row>
    <row r="293" spans="50:97" x14ac:dyDescent="0.45">
      <c r="AX293" s="8" t="str">
        <f t="shared" si="56"/>
        <v xml:space="preserve">(, 0) </v>
      </c>
      <c r="AZ293" s="8" t="str">
        <f t="shared" si="59"/>
        <v xml:space="preserve">(, 0) </v>
      </c>
      <c r="CN293" s="8">
        <v>145</v>
      </c>
      <c r="CO293" s="8">
        <v>0.05</v>
      </c>
      <c r="CP293" s="8">
        <v>-2.6837602541919217E-3</v>
      </c>
      <c r="CQ293" s="49">
        <v>6.4228126193531295E-3</v>
      </c>
      <c r="CR293" s="17">
        <v>3.5116946051405827E-2</v>
      </c>
      <c r="CS293" s="16">
        <f t="shared" si="58"/>
        <v>8.8855998416567036E-2</v>
      </c>
    </row>
    <row r="294" spans="50:97" x14ac:dyDescent="0.45">
      <c r="AX294" s="8" t="str">
        <f t="shared" si="56"/>
        <v xml:space="preserve">(, 0) </v>
      </c>
      <c r="AZ294" s="8" t="str">
        <f t="shared" si="59"/>
        <v xml:space="preserve">(, 0) </v>
      </c>
      <c r="CN294" s="8">
        <v>145.5</v>
      </c>
      <c r="CO294" s="8">
        <v>0.05</v>
      </c>
      <c r="CP294" s="8">
        <v>-2.6745588857782702E-3</v>
      </c>
      <c r="CQ294" s="49">
        <v>6.401156420682938E-3</v>
      </c>
      <c r="CR294" s="17">
        <v>3.504508998156701E-2</v>
      </c>
      <c r="CS294" s="16">
        <f t="shared" si="58"/>
        <v>8.8771687516471687E-2</v>
      </c>
    </row>
    <row r="295" spans="50:97" x14ac:dyDescent="0.45">
      <c r="AX295" s="8" t="str">
        <f t="shared" si="56"/>
        <v xml:space="preserve">(, 0) </v>
      </c>
      <c r="AZ295" s="8" t="str">
        <f t="shared" si="59"/>
        <v xml:space="preserve">(, 0) </v>
      </c>
      <c r="CN295" s="8">
        <v>146</v>
      </c>
      <c r="CO295" s="8">
        <v>0.05</v>
      </c>
      <c r="CP295" s="8">
        <v>-2.6654199547546534E-3</v>
      </c>
      <c r="CQ295" s="49">
        <v>6.3796384501793721E-3</v>
      </c>
      <c r="CR295" s="17">
        <v>3.4973292243916529E-2</v>
      </c>
      <c r="CS295" s="16">
        <f t="shared" si="58"/>
        <v>8.8687510739341252E-2</v>
      </c>
    </row>
    <row r="296" spans="50:97" x14ac:dyDescent="0.45">
      <c r="AX296" s="8" t="str">
        <f t="shared" si="56"/>
        <v xml:space="preserve">(, 0) </v>
      </c>
      <c r="AZ296" s="8" t="str">
        <f t="shared" si="59"/>
        <v xml:space="preserve">(, 0) </v>
      </c>
      <c r="CN296" s="8">
        <v>146.5</v>
      </c>
      <c r="CO296" s="8">
        <v>0.05</v>
      </c>
      <c r="CP296" s="8">
        <v>-2.6563428380296738E-3</v>
      </c>
      <c r="CQ296" s="49">
        <v>6.358257533631311E-3</v>
      </c>
      <c r="CR296" s="17">
        <v>3.4901555535883061E-2</v>
      </c>
      <c r="CS296" s="16">
        <f t="shared" si="58"/>
        <v>8.860347023148471E-2</v>
      </c>
    </row>
    <row r="297" spans="50:97" x14ac:dyDescent="0.45">
      <c r="AX297" s="8" t="str">
        <f t="shared" si="56"/>
        <v xml:space="preserve">(, 0) </v>
      </c>
      <c r="AZ297" s="8" t="str">
        <f t="shared" si="59"/>
        <v xml:space="preserve">(, 0) </v>
      </c>
      <c r="CN297" s="8">
        <v>147</v>
      </c>
      <c r="CO297" s="8">
        <v>0.05</v>
      </c>
      <c r="CP297" s="8">
        <v>-2.6473269205413087E-3</v>
      </c>
      <c r="CQ297" s="49">
        <v>6.3370125071945662E-3</v>
      </c>
      <c r="CR297" s="17">
        <v>3.4829882502677594E-2</v>
      </c>
      <c r="CS297" s="16">
        <f t="shared" si="58"/>
        <v>8.8519568089330855E-2</v>
      </c>
    </row>
    <row r="298" spans="50:97" x14ac:dyDescent="0.45">
      <c r="AX298" s="8" t="str">
        <f t="shared" si="56"/>
        <v xml:space="preserve">(, 0) </v>
      </c>
      <c r="AZ298" s="8" t="str">
        <f t="shared" si="59"/>
        <v xml:space="preserve">(, 0) </v>
      </c>
      <c r="CN298" s="8">
        <v>147.5</v>
      </c>
      <c r="CO298" s="8">
        <v>0.05</v>
      </c>
      <c r="CP298" s="8">
        <v>-2.6383715951332123E-3</v>
      </c>
      <c r="CQ298" s="49">
        <v>6.3159022173420003E-3</v>
      </c>
      <c r="CR298" s="17">
        <v>3.4758275738063039E-2</v>
      </c>
      <c r="CS298" s="16">
        <f t="shared" si="58"/>
        <v>8.8435806360271818E-2</v>
      </c>
    </row>
    <row r="299" spans="50:97" x14ac:dyDescent="0.45">
      <c r="AX299" s="8" t="str">
        <f t="shared" si="56"/>
        <v xml:space="preserve">(, 0) </v>
      </c>
      <c r="AZ299" s="8" t="str">
        <f t="shared" si="59"/>
        <v xml:space="preserve">(, 0) </v>
      </c>
      <c r="CN299" s="8">
        <v>148</v>
      </c>
      <c r="CO299" s="8">
        <v>0.05</v>
      </c>
      <c r="CP299" s="8">
        <v>-2.6294762624331819E-3</v>
      </c>
      <c r="CQ299" s="49">
        <v>6.2949255208119698E-3</v>
      </c>
      <c r="CR299" s="17">
        <v>3.46867377851134E-2</v>
      </c>
      <c r="CS299" s="16">
        <f t="shared" si="58"/>
        <v>8.8352187043492181E-2</v>
      </c>
    </row>
    <row r="300" spans="50:97" x14ac:dyDescent="0.45">
      <c r="AX300" s="8" t="str">
        <f t="shared" si="56"/>
        <v xml:space="preserve">(, 0) </v>
      </c>
      <c r="AZ300" s="8" t="str">
        <f t="shared" si="59"/>
        <v xml:space="preserve">(, 0) </v>
      </c>
      <c r="CN300" s="8">
        <v>148.5</v>
      </c>
      <c r="CO300" s="8">
        <v>0.05</v>
      </c>
      <c r="CP300" s="8">
        <v>-2.620640330733749E-3</v>
      </c>
      <c r="CQ300" s="49">
        <v>6.2740812845552239E-3</v>
      </c>
      <c r="CR300" s="17">
        <v>3.4615271136962604E-2</v>
      </c>
      <c r="CS300" s="16">
        <f t="shared" si="58"/>
        <v>8.8268712090784074E-2</v>
      </c>
    </row>
    <row r="301" spans="50:97" x14ac:dyDescent="0.45">
      <c r="AX301" s="8" t="str">
        <f t="shared" si="56"/>
        <v xml:space="preserve">(, 0) </v>
      </c>
      <c r="AZ301" s="8" t="str">
        <f t="shared" si="59"/>
        <v xml:space="preserve">(, 0) </v>
      </c>
      <c r="CN301" s="8">
        <v>149</v>
      </c>
      <c r="CO301" s="8">
        <v>0.05</v>
      </c>
      <c r="CP301" s="8">
        <v>-2.6118632158748482E-3</v>
      </c>
      <c r="CQ301" s="49">
        <v>6.2533683856802998E-3</v>
      </c>
      <c r="CR301" s="17">
        <v>3.4543878237543249E-2</v>
      </c>
      <c r="CS301" s="16">
        <f t="shared" si="58"/>
        <v>8.8185383407348703E-2</v>
      </c>
    </row>
    <row r="302" spans="50:97" x14ac:dyDescent="0.45">
      <c r="AX302" s="8" t="str">
        <f t="shared" si="56"/>
        <v xml:space="preserve">(, 0) </v>
      </c>
      <c r="AZ302" s="8" t="str">
        <f t="shared" si="59"/>
        <v xml:space="preserve">(, 0) </v>
      </c>
      <c r="CN302" s="8">
        <v>149.5</v>
      </c>
      <c r="CO302" s="8">
        <v>0.05</v>
      </c>
      <c r="CP302" s="8">
        <v>-2.6031443411285351E-3</v>
      </c>
      <c r="CQ302" s="49">
        <v>6.2327857113975366E-3</v>
      </c>
      <c r="CR302" s="17">
        <v>3.4472561482315291E-2</v>
      </c>
      <c r="CS302" s="16">
        <f t="shared" si="58"/>
        <v>8.8102202852584299E-2</v>
      </c>
    </row>
    <row r="303" spans="50:97" x14ac:dyDescent="0.45">
      <c r="AX303" s="8" t="str">
        <f t="shared" si="56"/>
        <v xml:space="preserve">(, 0) </v>
      </c>
      <c r="AZ303" s="8" t="str">
        <f t="shared" si="59"/>
        <v xml:space="preserve">(, 0) </v>
      </c>
      <c r="CN303" s="8">
        <v>150</v>
      </c>
      <c r="CO303" s="8">
        <v>0.05</v>
      </c>
      <c r="CP303" s="8">
        <v>-2.5944831370857029E-3</v>
      </c>
      <c r="CQ303" s="49">
        <v>6.2123321589617692E-3</v>
      </c>
      <c r="CR303" s="17">
        <v>3.4401323218984849E-2</v>
      </c>
      <c r="CS303" s="16">
        <f t="shared" si="58"/>
        <v>8.8019172240860921E-2</v>
      </c>
    </row>
    <row r="304" spans="50:97" x14ac:dyDescent="0.45">
      <c r="AX304" s="8" t="str">
        <f t="shared" si="56"/>
        <v xml:space="preserve">(, 0) </v>
      </c>
      <c r="AZ304" s="8" t="str">
        <f t="shared" si="59"/>
        <v xml:space="preserve">(, 0) </v>
      </c>
      <c r="CN304" s="8">
        <v>150.5</v>
      </c>
      <c r="CO304" s="8">
        <v>0.05</v>
      </c>
      <c r="CP304" s="8">
        <v>-2.5858790415447656E-3</v>
      </c>
      <c r="CQ304" s="49">
        <v>6.192006635613782E-3</v>
      </c>
      <c r="CR304" s="17">
        <v>3.4330165748213209E-2</v>
      </c>
      <c r="CS304" s="16">
        <f t="shared" si="58"/>
        <v>8.7936293342282229E-2</v>
      </c>
    </row>
    <row r="305" spans="3:97" x14ac:dyDescent="0.45">
      <c r="AX305" s="8" t="str">
        <f t="shared" si="56"/>
        <v xml:space="preserve">(, 0) </v>
      </c>
      <c r="AZ305" s="8" t="str">
        <f t="shared" si="59"/>
        <v xml:space="preserve">(, 0) </v>
      </c>
      <c r="CN305" s="8">
        <v>151</v>
      </c>
      <c r="CO305" s="8">
        <v>0.05</v>
      </c>
      <c r="CP305" s="8">
        <v>-2.5773314994022691E-3</v>
      </c>
      <c r="CQ305" s="49">
        <v>6.171808058520605E-3</v>
      </c>
      <c r="CR305" s="17">
        <v>3.4259091324316239E-2</v>
      </c>
      <c r="CS305" s="16">
        <f t="shared" si="58"/>
        <v>8.7853567883434569E-2</v>
      </c>
    </row>
    <row r="306" spans="3:97" x14ac:dyDescent="0.45">
      <c r="AX306" s="8" t="str">
        <f t="shared" si="56"/>
        <v xml:space="preserve">(, 0) </v>
      </c>
      <c r="AZ306" s="8" t="str">
        <f t="shared" si="59"/>
        <v xml:space="preserve">(, 0) </v>
      </c>
      <c r="CN306" s="8">
        <v>151.5</v>
      </c>
      <c r="CO306" s="8">
        <v>0.05</v>
      </c>
      <c r="CP306" s="8">
        <v>-2.5688399625453948E-3</v>
      </c>
      <c r="CQ306" s="49">
        <v>6.1517353547147222E-3</v>
      </c>
      <c r="CR306" s="17">
        <v>3.4188102155954303E-2</v>
      </c>
      <c r="CS306" s="16">
        <f t="shared" si="58"/>
        <v>8.7770997548123633E-2</v>
      </c>
    </row>
    <row r="307" spans="3:97" x14ac:dyDescent="0.45">
      <c r="AX307" s="8" t="str">
        <f t="shared" si="56"/>
        <v xml:space="preserve">(, 0) </v>
      </c>
      <c r="AZ307" s="8" t="str">
        <f t="shared" si="59"/>
        <v xml:space="preserve">(, 0) </v>
      </c>
      <c r="CN307" s="8">
        <v>152</v>
      </c>
      <c r="CO307" s="8">
        <v>0.05</v>
      </c>
      <c r="CP307" s="8">
        <v>-2.5604038897463158E-3</v>
      </c>
      <c r="CQ307" s="49">
        <v>6.1317874610322563E-3</v>
      </c>
      <c r="CR307" s="17">
        <v>3.411720040681273E-2</v>
      </c>
      <c r="CS307" s="16">
        <f t="shared" si="58"/>
        <v>8.7688583978098672E-2</v>
      </c>
    </row>
    <row r="308" spans="3:97" x14ac:dyDescent="0.45">
      <c r="AX308" s="8" t="str">
        <f t="shared" si="56"/>
        <v xml:space="preserve">(, 0) </v>
      </c>
      <c r="AZ308" s="8" t="str">
        <f t="shared" si="59"/>
        <v xml:space="preserve">(, 0) </v>
      </c>
      <c r="CN308" s="8">
        <v>152.5</v>
      </c>
      <c r="CO308" s="8">
        <v>0.05</v>
      </c>
      <c r="CP308" s="8">
        <v>-2.5520227465583747E-3</v>
      </c>
      <c r="CQ308" s="49">
        <v>6.111963324050204E-3</v>
      </c>
      <c r="CR308" s="17">
        <v>3.4046388196273043E-2</v>
      </c>
      <c r="CS308" s="16">
        <f t="shared" si="58"/>
        <v>8.7606328773764869E-2</v>
      </c>
    </row>
    <row r="309" spans="3:97" x14ac:dyDescent="0.45">
      <c r="AX309" s="8" t="str">
        <f t="shared" si="56"/>
        <v xml:space="preserve">(, 0) </v>
      </c>
      <c r="AZ309" s="8" t="str">
        <f t="shared" si="59"/>
        <v xml:space="preserve">(, 0) </v>
      </c>
      <c r="CN309" s="8">
        <v>153</v>
      </c>
      <c r="CO309" s="8">
        <v>0.05</v>
      </c>
      <c r="CP309" s="8">
        <v>-2.543696005214046E-3</v>
      </c>
      <c r="CQ309" s="49">
        <v>6.0922619000227827E-3</v>
      </c>
      <c r="CR309" s="17">
        <v>3.3975667600075116E-2</v>
      </c>
      <c r="CS309" s="16">
        <f t="shared" si="58"/>
        <v>8.7524233494883849E-2</v>
      </c>
    </row>
    <row r="310" spans="3:97" x14ac:dyDescent="0.45">
      <c r="AX310" s="8" t="str">
        <f t="shared" si="56"/>
        <v xml:space="preserve">(, 0) </v>
      </c>
      <c r="AZ310" s="8" t="str">
        <f t="shared" si="59"/>
        <v xml:space="preserve">(, 0) </v>
      </c>
      <c r="CN310" s="8">
        <v>153.5</v>
      </c>
      <c r="CO310" s="8">
        <v>0.05</v>
      </c>
      <c r="CP310" s="8">
        <v>-2.5354231445246524E-3</v>
      </c>
      <c r="CQ310" s="49">
        <v>6.0726821548169555E-3</v>
      </c>
      <c r="CR310" s="17">
        <v>3.3905040650970206E-2</v>
      </c>
      <c r="CS310" s="16">
        <f t="shared" si="58"/>
        <v>8.7442299661262518E-2</v>
      </c>
    </row>
    <row r="311" spans="3:97" x14ac:dyDescent="0.45">
      <c r="AX311" s="8" t="str">
        <f t="shared" si="56"/>
        <v xml:space="preserve">(, 0) </v>
      </c>
      <c r="AZ311" s="8" t="str">
        <f t="shared" si="59"/>
        <v xml:space="preserve">(, 0) </v>
      </c>
      <c r="CN311" s="8">
        <v>154</v>
      </c>
      <c r="CO311" s="8">
        <v>0.05</v>
      </c>
      <c r="CP311" s="8">
        <v>-2.5272036497817948E-3</v>
      </c>
      <c r="CQ311" s="49">
        <v>6.0532230638471853E-3</v>
      </c>
      <c r="CR311" s="17">
        <v>3.3834509339365125E-2</v>
      </c>
      <c r="CS311" s="16">
        <f t="shared" si="58"/>
        <v>8.7360528753430519E-2</v>
      </c>
    </row>
    <row r="312" spans="3:97" x14ac:dyDescent="0.45">
      <c r="AX312" s="8" t="str">
        <f t="shared" si="56"/>
        <v xml:space="preserve">(, 0) </v>
      </c>
      <c r="AZ312" s="8" t="str">
        <f t="shared" si="59"/>
        <v xml:space="preserve">(, 0) </v>
      </c>
      <c r="CN312" s="8">
        <v>154.5</v>
      </c>
      <c r="CO312" s="8">
        <v>0.05</v>
      </c>
      <c r="CP312" s="8">
        <v>-2.5190370126604777E-3</v>
      </c>
      <c r="CQ312" s="49">
        <v>6.0338836120094998E-3</v>
      </c>
      <c r="CR312" s="17">
        <v>3.3764075613957653E-2</v>
      </c>
      <c r="CS312" s="16">
        <f t="shared" si="58"/>
        <v>8.7278922213306687E-2</v>
      </c>
    </row>
    <row r="313" spans="3:97" x14ac:dyDescent="0.45">
      <c r="AX313" s="8" t="str">
        <f t="shared" si="56"/>
        <v xml:space="preserve">(, 0) </v>
      </c>
      <c r="AZ313" s="8" t="str">
        <f t="shared" si="59"/>
        <v xml:space="preserve">(, 0) </v>
      </c>
      <c r="CN313" s="8">
        <v>155</v>
      </c>
      <c r="CO313" s="8">
        <v>0.05</v>
      </c>
      <c r="CP313" s="8">
        <v>-2.5109227311238764E-3</v>
      </c>
      <c r="CQ313" s="49">
        <v>6.014662793614874E-3</v>
      </c>
      <c r="CR313" s="17">
        <v>3.3693741382363251E-2</v>
      </c>
      <c r="CS313" s="16">
        <f t="shared" si="58"/>
        <v>8.7197481444854258E-2</v>
      </c>
    </row>
    <row r="314" spans="3:97" x14ac:dyDescent="0.45">
      <c r="AX314" s="8" t="str">
        <f t="shared" si="56"/>
        <v xml:space="preserve">(, 0) </v>
      </c>
      <c r="AZ314" s="8" t="str">
        <f t="shared" si="59"/>
        <v xml:space="preserve">(, 0) </v>
      </c>
      <c r="CN314" s="8">
        <v>155.5</v>
      </c>
      <c r="CO314" s="8">
        <v>0.05</v>
      </c>
      <c r="CP314" s="8">
        <v>-2.5028603093297367E-3</v>
      </c>
      <c r="CQ314" s="49">
        <v>5.9955596123220474E-3</v>
      </c>
      <c r="CR314" s="17">
        <v>3.3623508511733166E-2</v>
      </c>
      <c r="CS314" s="16">
        <f t="shared" si="58"/>
        <v>8.7116207814725483E-2</v>
      </c>
    </row>
    <row r="315" spans="3:97" x14ac:dyDescent="0.45">
      <c r="AX315" s="8" t="str">
        <f t="shared" si="56"/>
        <v xml:space="preserve">(, 0) </v>
      </c>
      <c r="AZ315" s="8" t="str">
        <f t="shared" si="59"/>
        <v xml:space="preserve">(, 0) </v>
      </c>
      <c r="CN315" s="8">
        <v>156</v>
      </c>
      <c r="CO315" s="8">
        <v>0.05</v>
      </c>
      <c r="CP315" s="8">
        <v>-2.4948492575383673E-3</v>
      </c>
      <c r="CQ315" s="49">
        <v>5.9765730810697783E-3</v>
      </c>
      <c r="CR315" s="17">
        <v>3.3553378829364225E-2</v>
      </c>
      <c r="CS315" s="16">
        <f t="shared" si="58"/>
        <v>8.7035102652895643E-2</v>
      </c>
    </row>
    <row r="316" spans="3:97" x14ac:dyDescent="0.45">
      <c r="C316" s="55" t="s">
        <v>258</v>
      </c>
      <c r="D316" s="36" t="s">
        <v>249</v>
      </c>
      <c r="E316" s="36" t="s">
        <v>255</v>
      </c>
      <c r="AX316" s="8" t="str">
        <f t="shared" si="56"/>
        <v xml:space="preserve">(, 0) </v>
      </c>
      <c r="AZ316" s="8" t="str">
        <f t="shared" si="59"/>
        <v xml:space="preserve">(, 0) </v>
      </c>
      <c r="CN316" s="8">
        <v>156.5</v>
      </c>
      <c r="CO316" s="8">
        <v>0.05</v>
      </c>
      <c r="CP316" s="8">
        <v>-2.486889092022188E-3</v>
      </c>
      <c r="CQ316" s="49">
        <v>5.9577022220086038E-3</v>
      </c>
      <c r="CR316" s="17">
        <v>3.3483354123300148E-2</v>
      </c>
      <c r="CS316" s="16">
        <f t="shared" si="58"/>
        <v>8.6954167253286557E-2</v>
      </c>
    </row>
    <row r="317" spans="3:97" x14ac:dyDescent="0.45">
      <c r="C317" s="17" t="s">
        <v>240</v>
      </c>
      <c r="D317" s="17" t="s">
        <v>240</v>
      </c>
      <c r="E317" s="17" t="s">
        <v>240</v>
      </c>
      <c r="AX317" s="8" t="str">
        <f t="shared" si="56"/>
        <v xml:space="preserve">(, 0) </v>
      </c>
      <c r="AZ317" s="8" t="str">
        <f t="shared" si="59"/>
        <v xml:space="preserve">(, 0) </v>
      </c>
      <c r="CN317" s="8">
        <v>157</v>
      </c>
      <c r="CO317" s="8">
        <v>0.05</v>
      </c>
      <c r="CP317" s="8">
        <v>-2.4789793349768189E-3</v>
      </c>
      <c r="CQ317" s="49">
        <v>5.9389460664321493E-3</v>
      </c>
      <c r="CR317" s="17">
        <v>3.3413436142924746E-2</v>
      </c>
      <c r="CS317" s="16">
        <f t="shared" si="58"/>
        <v>8.6873402874380085E-2</v>
      </c>
    </row>
    <row r="318" spans="3:97" x14ac:dyDescent="0.45">
      <c r="C318" s="17">
        <v>0.32473063762288679</v>
      </c>
      <c r="D318" s="17">
        <v>0.32935859170276705</v>
      </c>
      <c r="E318" s="17">
        <v>0.35668648401712533</v>
      </c>
      <c r="AX318" s="8" t="str">
        <f t="shared" si="56"/>
        <v xml:space="preserve">(, 0) </v>
      </c>
      <c r="AZ318" s="8" t="str">
        <f t="shared" si="59"/>
        <v xml:space="preserve">(, 0) </v>
      </c>
      <c r="CN318" s="8">
        <v>157.5</v>
      </c>
      <c r="CO318" s="8">
        <v>0.05</v>
      </c>
      <c r="CP318" s="8">
        <v>-2.4711195144336714E-3</v>
      </c>
      <c r="CQ318" s="49">
        <v>5.920303654708043E-3</v>
      </c>
      <c r="CR318" s="17">
        <v>3.3343626599546886E-2</v>
      </c>
      <c r="CS318" s="16">
        <f t="shared" si="58"/>
        <v>8.6792810739821258E-2</v>
      </c>
    </row>
    <row r="319" spans="3:97" x14ac:dyDescent="0.45">
      <c r="C319" s="17" t="s">
        <v>249</v>
      </c>
      <c r="D319" s="17" t="s">
        <v>249</v>
      </c>
      <c r="E319" s="17" t="s">
        <v>249</v>
      </c>
      <c r="AX319" s="8" t="str">
        <f t="shared" si="56"/>
        <v xml:space="preserve">(, 0) </v>
      </c>
      <c r="AZ319" s="8" t="str">
        <f t="shared" si="59"/>
        <v xml:space="preserve">(, 0) </v>
      </c>
      <c r="CN319" s="8">
        <v>158</v>
      </c>
      <c r="CO319" s="8">
        <v>0.05</v>
      </c>
      <c r="CP319" s="8">
        <v>-2.4633091641740154E-3</v>
      </c>
      <c r="CQ319" s="49">
        <v>5.9017740362084662E-3</v>
      </c>
      <c r="CR319" s="17">
        <v>3.3273927166977579E-2</v>
      </c>
      <c r="CS319" s="16">
        <f t="shared" si="58"/>
        <v>8.6712392039012029E-2</v>
      </c>
    </row>
    <row r="320" spans="3:97" x14ac:dyDescent="0.45">
      <c r="C320" s="17">
        <v>0.43391834788711542</v>
      </c>
      <c r="D320" s="17">
        <v>0.42494574622131498</v>
      </c>
      <c r="E320" s="17">
        <v>0.46006884708498735</v>
      </c>
      <c r="AX320" s="8" t="str">
        <f t="shared" si="56"/>
        <v xml:space="preserve">(, 0) </v>
      </c>
      <c r="AZ320" s="8" t="str">
        <f t="shared" si="59"/>
        <v xml:space="preserve">(, 0) </v>
      </c>
      <c r="CN320" s="8">
        <v>158.5</v>
      </c>
      <c r="CO320" s="8">
        <v>0.05</v>
      </c>
      <c r="CP320" s="8">
        <v>-2.4555478236444974E-3</v>
      </c>
      <c r="CQ320" s="49">
        <v>5.8833562692403776E-3</v>
      </c>
      <c r="CR320" s="17">
        <v>3.3204339482099068E-2</v>
      </c>
      <c r="CS320" s="16">
        <f t="shared" si="58"/>
        <v>8.6632147927694955E-2</v>
      </c>
    </row>
    <row r="321" spans="3:97" x14ac:dyDescent="0.45">
      <c r="C321" s="17" t="s">
        <v>255</v>
      </c>
      <c r="D321" s="17" t="s">
        <v>255</v>
      </c>
      <c r="E321" s="17" t="s">
        <v>255</v>
      </c>
      <c r="AX321" s="8" t="str">
        <f t="shared" si="56"/>
        <v xml:space="preserve">(, 0) </v>
      </c>
      <c r="AZ321" s="8" t="str">
        <f t="shared" ref="AZ321:AZ334" si="60">"("&amp;AV321&amp;", "&amp;ROUND(AY321*100,2)&amp;") "</f>
        <v xml:space="preserve">(, 0) </v>
      </c>
      <c r="CN321" s="8">
        <v>159</v>
      </c>
      <c r="CO321" s="8">
        <v>0.05</v>
      </c>
      <c r="CP321" s="8">
        <v>-2.4478350378740786E-3</v>
      </c>
      <c r="CQ321" s="49">
        <v>5.8650494209754808E-3</v>
      </c>
      <c r="CR321" s="17">
        <v>3.3134865145426143E-2</v>
      </c>
      <c r="CS321" s="16">
        <f t="shared" si="58"/>
        <v>8.6552079528527545E-2</v>
      </c>
    </row>
    <row r="322" spans="3:97" x14ac:dyDescent="0.45">
      <c r="C322" s="17">
        <v>759.64245975847132</v>
      </c>
      <c r="D322" s="17">
        <v>781.5236961762788</v>
      </c>
      <c r="E322" s="17">
        <v>719.14994632249727</v>
      </c>
      <c r="AX322" s="8" t="str">
        <f t="shared" ref="AX322:AX334" si="61">"("&amp;AV322&amp;", "&amp;ROUND(AW322*100,2)&amp;") "</f>
        <v xml:space="preserve">(, 0) </v>
      </c>
      <c r="AZ322" s="8" t="str">
        <f t="shared" si="60"/>
        <v xml:space="preserve">(, 0) </v>
      </c>
      <c r="CN322" s="8">
        <v>159.5</v>
      </c>
      <c r="CO322" s="8">
        <v>0.05</v>
      </c>
      <c r="CP322" s="8">
        <v>-2.4401703573923711E-3</v>
      </c>
      <c r="CQ322" s="49">
        <v>5.8468525673799334E-3</v>
      </c>
      <c r="CR322" s="17">
        <v>3.3065505721659727E-2</v>
      </c>
      <c r="CS322" s="16">
        <f t="shared" si="58"/>
        <v>8.6472187931647293E-2</v>
      </c>
    </row>
    <row r="323" spans="3:97" x14ac:dyDescent="0.45">
      <c r="AX323" s="8" t="str">
        <f t="shared" si="61"/>
        <v xml:space="preserve">(, 0) </v>
      </c>
      <c r="AZ323" s="8" t="str">
        <f t="shared" si="60"/>
        <v xml:space="preserve">(, 0) </v>
      </c>
      <c r="CN323" s="8">
        <v>160</v>
      </c>
      <c r="CO323" s="8">
        <v>0.05</v>
      </c>
      <c r="CP323" s="8">
        <v>-2.4325533381493432E-3</v>
      </c>
      <c r="CQ323" s="49">
        <v>5.8287647931438702E-3</v>
      </c>
      <c r="CR323" s="17">
        <v>3.299626274023295E-2</v>
      </c>
      <c r="CS323" s="16">
        <f t="shared" si="58"/>
        <v>8.639247419522747E-2</v>
      </c>
    </row>
    <row r="324" spans="3:97" x14ac:dyDescent="0.45">
      <c r="C324" s="17" t="s">
        <v>236</v>
      </c>
      <c r="D324" s="17" t="s">
        <v>236</v>
      </c>
      <c r="E324" s="17" t="s">
        <v>236</v>
      </c>
      <c r="AX324" s="8" t="str">
        <f t="shared" si="61"/>
        <v xml:space="preserve">(, 0) </v>
      </c>
      <c r="AZ324" s="8" t="str">
        <f t="shared" si="60"/>
        <v xml:space="preserve">(, 0) </v>
      </c>
      <c r="CN324" s="8">
        <v>160.5</v>
      </c>
      <c r="CO324" s="8">
        <v>0.05</v>
      </c>
      <c r="CP324" s="8">
        <v>-2.4249835414363696E-3</v>
      </c>
      <c r="CQ324" s="49">
        <v>5.8107851916107574E-3</v>
      </c>
      <c r="CR324" s="17">
        <v>3.2927137695849616E-2</v>
      </c>
      <c r="CS324" s="16">
        <f t="shared" si="58"/>
        <v>8.631293934602402E-2</v>
      </c>
    </row>
    <row r="325" spans="3:97" x14ac:dyDescent="0.45">
      <c r="C325" s="17">
        <v>5.5063634538414834E-2</v>
      </c>
      <c r="D325" s="17">
        <v>5.5088041190300092E-2</v>
      </c>
      <c r="AX325" s="8" t="str">
        <f t="shared" si="61"/>
        <v xml:space="preserve">(, 0) </v>
      </c>
      <c r="AZ325" s="8" t="str">
        <f t="shared" si="60"/>
        <v xml:space="preserve">(, 0) </v>
      </c>
      <c r="CN325" s="8">
        <v>161</v>
      </c>
      <c r="CO325" s="8">
        <v>0.05</v>
      </c>
      <c r="CP325" s="8">
        <v>-2.4174605338085973E-3</v>
      </c>
      <c r="CQ325" s="49">
        <v>5.7929128647066144E-3</v>
      </c>
      <c r="CR325" s="17">
        <v>3.2858132049015304E-2</v>
      </c>
      <c r="CS325" s="16">
        <f t="shared" si="58"/>
        <v>8.6233584379913325E-2</v>
      </c>
    </row>
    <row r="326" spans="3:97" x14ac:dyDescent="0.45">
      <c r="C326" s="17">
        <v>-3.9758626299747288E-2</v>
      </c>
      <c r="D326" s="17">
        <v>-3.9544816968737927E-2</v>
      </c>
      <c r="AX326" s="8" t="str">
        <f t="shared" si="61"/>
        <v xml:space="preserve">(, 0) </v>
      </c>
      <c r="AZ326" s="8" t="str">
        <f t="shared" si="60"/>
        <v xml:space="preserve">(, 0) </v>
      </c>
      <c r="CN326" s="8">
        <v>161.5</v>
      </c>
      <c r="CO326" s="8">
        <v>0.05</v>
      </c>
      <c r="CP326" s="8">
        <v>-2.4099838870086129E-3</v>
      </c>
      <c r="CQ326" s="49">
        <v>5.7751469228691423E-3</v>
      </c>
      <c r="CR326" s="17">
        <v>3.2789247226561249E-2</v>
      </c>
      <c r="CS326" s="16">
        <f t="shared" ref="CS326:CS389" si="62">SUM(CO326:CR326)</f>
        <v>8.6154410262421793E-2</v>
      </c>
    </row>
    <row r="327" spans="3:97" x14ac:dyDescent="0.45">
      <c r="C327" s="17">
        <v>-4.7746762030995898E-2</v>
      </c>
      <c r="D327" s="17">
        <v>-4.7994341967436113E-2</v>
      </c>
      <c r="AX327" s="8" t="str">
        <f t="shared" si="61"/>
        <v xml:space="preserve">(, 0) </v>
      </c>
      <c r="AZ327" s="8" t="str">
        <f t="shared" si="60"/>
        <v xml:space="preserve">(, 0) </v>
      </c>
      <c r="CN327" s="8">
        <v>162</v>
      </c>
      <c r="CO327" s="8">
        <v>0.05</v>
      </c>
      <c r="CP327" s="8">
        <v>-2.4025531778913787E-3</v>
      </c>
      <c r="CQ327" s="49">
        <v>5.757486484976781E-3</v>
      </c>
      <c r="CR327" s="17">
        <v>3.2720484622160873E-2</v>
      </c>
      <c r="CS327" s="16">
        <f t="shared" si="62"/>
        <v>8.6075417929246278E-2</v>
      </c>
    </row>
    <row r="328" spans="3:97" x14ac:dyDescent="0.45">
      <c r="C328" s="17">
        <v>-7.601589544453626E-3</v>
      </c>
      <c r="D328" s="17">
        <v>-1.1113521343006584E-2</v>
      </c>
      <c r="AX328" s="8" t="str">
        <f t="shared" si="61"/>
        <v xml:space="preserve">(, 0) </v>
      </c>
      <c r="AZ328" s="8" t="str">
        <f t="shared" si="60"/>
        <v xml:space="preserve">(, 0) </v>
      </c>
      <c r="CN328" s="8">
        <v>162.5</v>
      </c>
      <c r="CO328" s="8">
        <v>0.05</v>
      </c>
      <c r="CP328" s="8">
        <v>-2.3951679883504129E-3</v>
      </c>
      <c r="CQ328" s="49">
        <v>5.7399306782777377E-3</v>
      </c>
      <c r="CR328" s="17">
        <v>3.2651845596839313E-2</v>
      </c>
      <c r="CS328" s="16">
        <f t="shared" si="62"/>
        <v>8.599660828676664E-2</v>
      </c>
    </row>
    <row r="329" spans="3:97" x14ac:dyDescent="0.45">
      <c r="C329" s="17">
        <v>4.1283731045506205</v>
      </c>
      <c r="D329" s="17">
        <v>4.1660306247482186</v>
      </c>
      <c r="AX329" s="8" t="str">
        <f t="shared" si="61"/>
        <v xml:space="preserve">(, 0) </v>
      </c>
      <c r="AZ329" s="8" t="str">
        <f t="shared" si="60"/>
        <v xml:space="preserve">(, 0) </v>
      </c>
      <c r="CN329" s="8">
        <v>163</v>
      </c>
      <c r="CO329" s="8">
        <v>0.05</v>
      </c>
      <c r="CP329" s="8">
        <v>-2.3878279052451986E-3</v>
      </c>
      <c r="CQ329" s="49">
        <v>5.7224786383190058E-3</v>
      </c>
      <c r="CR329" s="17">
        <v>3.258333147947591E-2</v>
      </c>
      <c r="CS329" s="16">
        <f t="shared" si="62"/>
        <v>8.5917982212549718E-2</v>
      </c>
    </row>
    <row r="330" spans="3:97" x14ac:dyDescent="0.45">
      <c r="C330" s="17">
        <v>0.90200124588622943</v>
      </c>
      <c r="D330" s="17">
        <v>0.76837731743942783</v>
      </c>
      <c r="AX330" s="8" t="str">
        <f t="shared" si="61"/>
        <v xml:space="preserve">(, 0) </v>
      </c>
      <c r="AZ330" s="8" t="str">
        <f t="shared" si="60"/>
        <v xml:space="preserve">(, 0) </v>
      </c>
      <c r="CN330" s="8">
        <v>163.5</v>
      </c>
      <c r="CO330" s="8">
        <v>0.05</v>
      </c>
      <c r="CP330" s="8">
        <v>-2.3805325203297961E-3</v>
      </c>
      <c r="CQ330" s="49">
        <v>5.7051295088754042E-3</v>
      </c>
      <c r="CR330" s="17">
        <v>3.2514943567299726E-2</v>
      </c>
      <c r="CS330" s="16">
        <f t="shared" si="62"/>
        <v>8.5839540555845334E-2</v>
      </c>
    </row>
    <row r="331" spans="3:97" x14ac:dyDescent="0.45">
      <c r="AX331" s="8" t="str">
        <f t="shared" si="61"/>
        <v xml:space="preserve">(, 0) </v>
      </c>
      <c r="AZ331" s="8" t="str">
        <f t="shared" si="60"/>
        <v xml:space="preserve">(, 0) </v>
      </c>
      <c r="CN331" s="8">
        <v>164</v>
      </c>
      <c r="CO331" s="8">
        <v>0.05</v>
      </c>
      <c r="CP331" s="8">
        <v>-2.3732814301826309E-3</v>
      </c>
      <c r="CQ331" s="49">
        <v>5.6878824418786647E-3</v>
      </c>
      <c r="CR331" s="17">
        <v>3.2446683126378252E-2</v>
      </c>
      <c r="CS331" s="16">
        <f t="shared" si="62"/>
        <v>8.5761284138074295E-2</v>
      </c>
    </row>
    <row r="332" spans="3:97" x14ac:dyDescent="0.45">
      <c r="AX332" s="8" t="str">
        <f t="shared" si="61"/>
        <v xml:space="preserve">(, 0) </v>
      </c>
      <c r="AZ332" s="8" t="str">
        <f t="shared" si="60"/>
        <v xml:space="preserve">(, 0) </v>
      </c>
      <c r="CN332" s="8">
        <v>164.5</v>
      </c>
      <c r="CO332" s="8">
        <v>0.05</v>
      </c>
      <c r="CP332" s="8">
        <v>-2.3660742361374444E-3</v>
      </c>
      <c r="CQ332" s="49">
        <v>5.6707365973465932E-3</v>
      </c>
      <c r="CR332" s="17">
        <v>3.2378551392099435E-2</v>
      </c>
      <c r="CS332" s="16">
        <f t="shared" si="62"/>
        <v>8.568321375330859E-2</v>
      </c>
    </row>
    <row r="333" spans="3:97" x14ac:dyDescent="0.45">
      <c r="AX333" s="8" t="str">
        <f t="shared" si="61"/>
        <v xml:space="preserve">(, 0) </v>
      </c>
      <c r="AZ333" s="8" t="str">
        <f t="shared" si="60"/>
        <v xml:space="preserve">(, 0) </v>
      </c>
      <c r="CN333" s="8">
        <v>165</v>
      </c>
      <c r="CO333" s="8">
        <v>0.05</v>
      </c>
      <c r="CP333" s="8">
        <v>-2.3589105442153803E-3</v>
      </c>
      <c r="CQ333" s="49">
        <v>5.653691143312327E-3</v>
      </c>
      <c r="CR333" s="17">
        <v>3.2310549569646914E-2</v>
      </c>
      <c r="CS333" s="16">
        <f t="shared" si="62"/>
        <v>8.5605330168743859E-2</v>
      </c>
    </row>
    <row r="334" spans="3:97" x14ac:dyDescent="0.45">
      <c r="AX334" s="8" t="str">
        <f t="shared" si="61"/>
        <v xml:space="preserve">(, 0) </v>
      </c>
      <c r="AZ334" s="8" t="str">
        <f t="shared" si="60"/>
        <v xml:space="preserve">(, 0) </v>
      </c>
      <c r="CN334" s="8">
        <v>165.5</v>
      </c>
      <c r="CO334" s="8">
        <v>0.05</v>
      </c>
      <c r="CP334" s="8">
        <v>-2.3517899650581874E-3</v>
      </c>
      <c r="CQ334" s="49">
        <v>5.6367452557537188E-3</v>
      </c>
      <c r="CR334" s="17">
        <v>3.2242678834468831E-2</v>
      </c>
      <c r="CS334" s="16">
        <f t="shared" si="62"/>
        <v>8.552763412516437E-2</v>
      </c>
    </row>
    <row r="335" spans="3:97" x14ac:dyDescent="0.45">
      <c r="CN335" s="8">
        <v>166</v>
      </c>
      <c r="CO335" s="49">
        <v>0.05</v>
      </c>
      <c r="CP335" s="17">
        <v>-2.344712113862518E-3</v>
      </c>
      <c r="CQ335" s="17">
        <v>5.6198981185228468E-3</v>
      </c>
      <c r="CR335" s="17">
        <v>3.217494033274005E-2</v>
      </c>
      <c r="CS335" s="16">
        <f t="shared" si="62"/>
        <v>8.5450126337400387E-2</v>
      </c>
    </row>
    <row r="336" spans="3:97" x14ac:dyDescent="0.45">
      <c r="CN336" s="8">
        <v>166.5</v>
      </c>
      <c r="CO336" s="49">
        <v>0.05</v>
      </c>
      <c r="CP336" s="17">
        <v>-2.337676610315306E-3</v>
      </c>
      <c r="CQ336" s="17">
        <v>5.6031489232757107E-3</v>
      </c>
      <c r="CR336" s="17">
        <v>3.2107335181818054E-2</v>
      </c>
      <c r="CS336" s="16">
        <f t="shared" si="62"/>
        <v>8.5372807494778463E-2</v>
      </c>
    </row>
    <row r="337" spans="92:97" x14ac:dyDescent="0.45">
      <c r="CN337" s="8">
        <v>167</v>
      </c>
      <c r="CO337" s="49">
        <v>0.05</v>
      </c>
      <c r="CP337" s="17">
        <v>-2.3306830785301959E-3</v>
      </c>
      <c r="CQ337" s="17">
        <v>5.5864968694020961E-3</v>
      </c>
      <c r="CR337" s="17">
        <v>3.2039864470692472E-2</v>
      </c>
      <c r="CS337" s="16">
        <f t="shared" si="62"/>
        <v>8.5295678261564367E-2</v>
      </c>
    </row>
    <row r="338" spans="92:97" x14ac:dyDescent="0.45">
      <c r="CN338" s="8">
        <v>167.5</v>
      </c>
      <c r="CO338" s="49">
        <v>0.05</v>
      </c>
      <c r="CP338" s="17">
        <v>-2.3237311469850148E-3</v>
      </c>
      <c r="CQ338" s="17">
        <v>5.5699411639556443E-3</v>
      </c>
      <c r="CR338" s="17">
        <v>3.1972529260428449E-2</v>
      </c>
      <c r="CS338" s="16">
        <f t="shared" si="62"/>
        <v>8.5218739277399078E-2</v>
      </c>
    </row>
    <row r="339" spans="92:97" x14ac:dyDescent="0.45">
      <c r="CN339" s="8">
        <v>168</v>
      </c>
      <c r="CO339" s="49">
        <v>0.05</v>
      </c>
      <c r="CP339" s="17">
        <v>-2.3168204484602609E-3</v>
      </c>
      <c r="CQ339" s="17">
        <v>5.5534810215841493E-3</v>
      </c>
      <c r="CR339" s="17">
        <v>3.1905330584603764E-2</v>
      </c>
      <c r="CS339" s="16">
        <f t="shared" si="62"/>
        <v>8.5141991157727664E-2</v>
      </c>
    </row>
    <row r="340" spans="92:97" x14ac:dyDescent="0.45">
      <c r="CN340" s="8">
        <v>168.5</v>
      </c>
      <c r="CO340" s="49">
        <v>0.05</v>
      </c>
      <c r="CP340" s="17">
        <v>-2.3099506199785909E-3</v>
      </c>
      <c r="CQ340" s="17">
        <v>5.5371156644600872E-3</v>
      </c>
      <c r="CR340" s="17">
        <v>3.1838269449740025E-2</v>
      </c>
      <c r="CS340" s="16">
        <f t="shared" si="62"/>
        <v>8.506543449422152E-2</v>
      </c>
    </row>
    <row r="341" spans="92:97" x14ac:dyDescent="0.45">
      <c r="CN341" s="8">
        <v>169</v>
      </c>
      <c r="CO341" s="49">
        <v>0.05</v>
      </c>
      <c r="CP341" s="17">
        <v>-2.3031213027452906E-3</v>
      </c>
      <c r="CQ341" s="17">
        <v>5.5208443222114038E-3</v>
      </c>
      <c r="CR341" s="17">
        <v>3.1771346835727722E-2</v>
      </c>
      <c r="CS341" s="16">
        <f t="shared" si="62"/>
        <v>8.4989069855193833E-2</v>
      </c>
    </row>
    <row r="342" spans="92:97" x14ac:dyDescent="0.45">
      <c r="CN342" s="8">
        <v>169.5</v>
      </c>
      <c r="CO342" s="49">
        <v>0.05</v>
      </c>
      <c r="CP342" s="17">
        <v>-2.2963321420897127E-3</v>
      </c>
      <c r="CQ342" s="17">
        <v>5.5046662318525745E-3</v>
      </c>
      <c r="CR342" s="17">
        <v>3.1704563696245518E-2</v>
      </c>
      <c r="CS342" s="16">
        <f t="shared" si="62"/>
        <v>8.4912897786008384E-2</v>
      </c>
    </row>
    <row r="343" spans="92:97" x14ac:dyDescent="0.45">
      <c r="CN343" s="8">
        <v>170</v>
      </c>
      <c r="CO343" s="49">
        <v>0.05</v>
      </c>
      <c r="CP343" s="17">
        <v>-2.2895827874076543E-3</v>
      </c>
      <c r="CQ343" s="17">
        <v>5.4885806377159467E-3</v>
      </c>
      <c r="CR343" s="17">
        <v>3.1637920959173615E-2</v>
      </c>
      <c r="CS343" s="16">
        <f t="shared" si="62"/>
        <v>8.4836918809481909E-2</v>
      </c>
    </row>
    <row r="344" spans="92:97" x14ac:dyDescent="0.45">
      <c r="CN344" s="8">
        <v>170.5</v>
      </c>
      <c r="CO344" s="49">
        <v>0.05</v>
      </c>
      <c r="CP344" s="17">
        <v>-2.2828728921046727E-3</v>
      </c>
      <c r="CQ344" s="17">
        <v>5.4725867913833839E-3</v>
      </c>
      <c r="CR344" s="17">
        <v>3.1571419527001397E-2</v>
      </c>
      <c r="CS344" s="16">
        <f t="shared" si="62"/>
        <v>8.4761133426280111E-2</v>
      </c>
    </row>
    <row r="345" spans="92:97" x14ac:dyDescent="0.45">
      <c r="CN345" s="8">
        <v>171</v>
      </c>
      <c r="CO345" s="49">
        <v>0.05</v>
      </c>
      <c r="CP345" s="17">
        <v>-2.2762021135403093E-3</v>
      </c>
      <c r="CQ345" s="17">
        <v>5.4566839516182282E-3</v>
      </c>
      <c r="CR345" s="17">
        <v>3.1505060277229442E-2</v>
      </c>
      <c r="CS345" s="16">
        <f t="shared" si="62"/>
        <v>8.4685542115307363E-2</v>
      </c>
    </row>
    <row r="346" spans="92:97" x14ac:dyDescent="0.45">
      <c r="CN346" s="8">
        <v>171.5</v>
      </c>
      <c r="CO346" s="49">
        <v>0.05</v>
      </c>
      <c r="CP346" s="17">
        <v>-2.2695701129732118E-3</v>
      </c>
      <c r="CQ346" s="17">
        <v>5.4408713842975798E-3</v>
      </c>
      <c r="CR346" s="17">
        <v>3.1438844062765842E-2</v>
      </c>
      <c r="CS346" s="16">
        <f t="shared" si="62"/>
        <v>8.4610145334090212E-2</v>
      </c>
    </row>
    <row r="347" spans="92:97" x14ac:dyDescent="0.45">
      <c r="CN347" s="8">
        <v>172</v>
      </c>
      <c r="CO347" s="49">
        <v>0.05</v>
      </c>
      <c r="CP347" s="17">
        <v>-2.2629765555071371E-3</v>
      </c>
      <c r="CQ347" s="17">
        <v>5.4251483623449252E-3</v>
      </c>
      <c r="CR347" s="17">
        <v>3.1372771712317102E-2</v>
      </c>
      <c r="CS347" s="16">
        <f t="shared" si="62"/>
        <v>8.4534943519154887E-2</v>
      </c>
    </row>
    <row r="348" spans="92:97" x14ac:dyDescent="0.45">
      <c r="CN348" s="8">
        <v>172.5</v>
      </c>
      <c r="CO348" s="49">
        <v>0.05</v>
      </c>
      <c r="CP348" s="17">
        <v>-2.2564211100378211E-3</v>
      </c>
      <c r="CQ348" s="17">
        <v>5.4095141656631115E-3</v>
      </c>
      <c r="CR348" s="17">
        <v>3.1306844030773481E-2</v>
      </c>
      <c r="CS348" s="16">
        <f t="shared" si="62"/>
        <v>8.4459937086398776E-2</v>
      </c>
    </row>
    <row r="349" spans="92:97" x14ac:dyDescent="0.45">
      <c r="CN349" s="8">
        <v>173</v>
      </c>
      <c r="CO349" s="49">
        <v>0.05</v>
      </c>
      <c r="CP349" s="17">
        <v>-2.2499034492006915E-3</v>
      </c>
      <c r="CQ349" s="17">
        <v>5.3939680810676741E-3</v>
      </c>
      <c r="CR349" s="17">
        <v>3.124106179958908E-2</v>
      </c>
      <c r="CS349" s="16">
        <f t="shared" si="62"/>
        <v>8.438512643145607E-2</v>
      </c>
    </row>
    <row r="350" spans="92:97" x14ac:dyDescent="0.45">
      <c r="CN350" s="8">
        <v>173.5</v>
      </c>
      <c r="CO350" s="49">
        <v>0.05</v>
      </c>
      <c r="CP350" s="17">
        <v>-2.2434232493194254E-3</v>
      </c>
      <c r="CQ350" s="17">
        <v>5.3785094022205486E-3</v>
      </c>
      <c r="CR350" s="17">
        <v>3.1175425777156512E-2</v>
      </c>
      <c r="CS350" s="16">
        <f t="shared" si="62"/>
        <v>8.4310511930057633E-2</v>
      </c>
    </row>
    <row r="351" spans="92:97" x14ac:dyDescent="0.45">
      <c r="CN351" s="8">
        <v>174</v>
      </c>
      <c r="CO351" s="49">
        <v>0.05</v>
      </c>
      <c r="CP351" s="17">
        <v>-2.2369801903553165E-3</v>
      </c>
      <c r="CQ351" s="17">
        <v>5.3631374295641581E-3</v>
      </c>
      <c r="CR351" s="17">
        <v>3.110993669917635E-2</v>
      </c>
      <c r="CS351" s="16">
        <f t="shared" si="62"/>
        <v>8.4236093938385201E-2</v>
      </c>
    </row>
    <row r="352" spans="92:97" x14ac:dyDescent="0.45">
      <c r="CN352" s="8">
        <v>174.5</v>
      </c>
      <c r="CO352" s="49">
        <v>0.05</v>
      </c>
      <c r="CP352" s="17">
        <v>-2.2305739558574544E-3</v>
      </c>
      <c r="CQ352" s="17">
        <v>5.3478514702558835E-3</v>
      </c>
      <c r="CR352" s="17">
        <v>3.1044595279021463E-2</v>
      </c>
      <c r="CS352" s="16">
        <f t="shared" si="62"/>
        <v>8.4161872793419898E-2</v>
      </c>
    </row>
    <row r="353" spans="92:97" x14ac:dyDescent="0.45">
      <c r="CN353" s="8">
        <v>175</v>
      </c>
      <c r="CO353" s="49">
        <v>0.05</v>
      </c>
      <c r="CP353" s="17">
        <v>-2.2242042329136905E-3</v>
      </c>
      <c r="CQ353" s="17">
        <v>5.3326508381029425E-3</v>
      </c>
      <c r="CR353" s="17">
        <v>3.0979402208096224E-2</v>
      </c>
      <c r="CS353" s="16">
        <f t="shared" si="62"/>
        <v>8.4087848813285487E-2</v>
      </c>
    </row>
    <row r="354" spans="92:97" x14ac:dyDescent="0.45">
      <c r="CN354" s="8">
        <v>175.5</v>
      </c>
      <c r="CO354" s="49">
        <v>0.05</v>
      </c>
      <c r="CP354" s="17">
        <v>-2.2178707121023821E-3</v>
      </c>
      <c r="CQ354" s="17">
        <v>5.3175348534976732E-3</v>
      </c>
      <c r="CR354" s="17">
        <v>3.0914358156190633E-2</v>
      </c>
      <c r="CS354" s="16">
        <f t="shared" si="62"/>
        <v>8.4014022297585922E-2</v>
      </c>
    </row>
    <row r="355" spans="92:97" x14ac:dyDescent="0.45">
      <c r="CN355" s="8">
        <v>176</v>
      </c>
      <c r="CO355" s="49">
        <v>0.05</v>
      </c>
      <c r="CP355" s="17">
        <v>-2.2115730874448986E-3</v>
      </c>
      <c r="CQ355" s="17">
        <v>5.3025028433532186E-3</v>
      </c>
      <c r="CR355" s="17">
        <v>3.0849463771829577E-2</v>
      </c>
      <c r="CS355" s="16">
        <f t="shared" si="62"/>
        <v>8.3940393527737897E-2</v>
      </c>
    </row>
    <row r="356" spans="92:97" x14ac:dyDescent="0.45">
      <c r="CN356" s="8">
        <v>176.5</v>
      </c>
      <c r="CO356" s="49">
        <v>0.05</v>
      </c>
      <c r="CP356" s="17">
        <v>-2.20531105635888E-3</v>
      </c>
      <c r="CQ356" s="17">
        <v>5.2875541410396494E-3</v>
      </c>
      <c r="CR356" s="17">
        <v>3.078471968261709E-2</v>
      </c>
      <c r="CS356" s="16">
        <f t="shared" si="62"/>
        <v>8.3866962767297867E-2</v>
      </c>
    </row>
    <row r="357" spans="92:97" x14ac:dyDescent="0.45">
      <c r="CN357" s="8">
        <v>177</v>
      </c>
      <c r="CO357" s="49">
        <v>0.05</v>
      </c>
      <c r="CP357" s="17">
        <v>-2.1990843196122265E-3</v>
      </c>
      <c r="CQ357" s="17">
        <v>5.2726880863205056E-3</v>
      </c>
      <c r="CR357" s="17">
        <v>3.0720126495575855E-2</v>
      </c>
      <c r="CS357" s="16">
        <f t="shared" si="62"/>
        <v>8.3793730262284136E-2</v>
      </c>
    </row>
    <row r="358" spans="92:97" x14ac:dyDescent="0.45">
      <c r="CN358" s="8">
        <v>177.5</v>
      </c>
      <c r="CO358" s="49">
        <v>0.05</v>
      </c>
      <c r="CP358" s="17">
        <v>-2.1928925812778177E-3</v>
      </c>
      <c r="CQ358" s="17">
        <v>5.257904025289771E-3</v>
      </c>
      <c r="CR358" s="17">
        <v>3.0655684797481864E-2</v>
      </c>
      <c r="CS358" s="16">
        <f t="shared" si="62"/>
        <v>8.3720696241493822E-2</v>
      </c>
    </row>
    <row r="359" spans="92:97" x14ac:dyDescent="0.45">
      <c r="CN359" s="8">
        <v>178</v>
      </c>
      <c r="CO359" s="49">
        <v>0.05</v>
      </c>
      <c r="CP359" s="17">
        <v>-2.1867355486889345E-3</v>
      </c>
      <c r="CQ359" s="17">
        <v>5.2432013103092838E-3</v>
      </c>
      <c r="CR359" s="17">
        <v>3.0591395155194444E-2</v>
      </c>
      <c r="CS359" s="16">
        <f t="shared" si="62"/>
        <v>8.3647860916814795E-2</v>
      </c>
    </row>
    <row r="360" spans="92:97" x14ac:dyDescent="0.45">
      <c r="CN360" s="8">
        <v>178.5</v>
      </c>
      <c r="CO360" s="49">
        <v>0.05</v>
      </c>
      <c r="CP360" s="17">
        <v>-2.1806129323953889E-3</v>
      </c>
      <c r="CQ360" s="17">
        <v>5.2285792999466002E-3</v>
      </c>
      <c r="CR360" s="17">
        <v>3.0527258115981608E-2</v>
      </c>
      <c r="CS360" s="16">
        <f t="shared" si="62"/>
        <v>8.3575224483532828E-2</v>
      </c>
    </row>
    <row r="361" spans="92:97" x14ac:dyDescent="0.45">
      <c r="CN361" s="8">
        <v>179</v>
      </c>
      <c r="CO361" s="49">
        <v>0.05</v>
      </c>
      <c r="CP361" s="17">
        <v>-2.1745244461203296E-3</v>
      </c>
      <c r="CQ361" s="17">
        <v>5.2140373589132979E-3</v>
      </c>
      <c r="CR361" s="17">
        <v>3.0463274207840771E-2</v>
      </c>
      <c r="CS361" s="16">
        <f t="shared" si="62"/>
        <v>8.3502787120633748E-2</v>
      </c>
    </row>
    <row r="362" spans="92:97" x14ac:dyDescent="0.45">
      <c r="CN362" s="8">
        <v>179.5</v>
      </c>
      <c r="CO362" s="49">
        <v>0.05</v>
      </c>
      <c r="CP362" s="17">
        <v>-2.1684698067177305E-3</v>
      </c>
      <c r="CQ362" s="17">
        <v>5.199574858003742E-3</v>
      </c>
      <c r="CR362" s="17">
        <v>3.039944393981504E-2</v>
      </c>
      <c r="CS362" s="16">
        <f t="shared" si="62"/>
        <v>8.3430548991101056E-2</v>
      </c>
    </row>
    <row r="363" spans="92:97" x14ac:dyDescent="0.45">
      <c r="CN363" s="8">
        <v>180</v>
      </c>
      <c r="CO363" s="49">
        <v>0.05</v>
      </c>
      <c r="CP363" s="17">
        <v>-2.1624487341305324E-3</v>
      </c>
      <c r="CQ363" s="17">
        <v>5.1851911740342926E-3</v>
      </c>
      <c r="CR363" s="17">
        <v>3.0335767802304986E-2</v>
      </c>
      <c r="CS363" s="16">
        <f t="shared" si="62"/>
        <v>8.335851024220875E-2</v>
      </c>
    </row>
    <row r="364" spans="92:97" x14ac:dyDescent="0.45">
      <c r="CN364" s="8">
        <v>180.5</v>
      </c>
      <c r="CO364" s="49">
        <v>0.05</v>
      </c>
      <c r="CP364" s="17">
        <v>-2.1564609513494435E-3</v>
      </c>
      <c r="CQ364" s="17">
        <v>5.1708856897829947E-3</v>
      </c>
      <c r="CR364" s="17">
        <v>3.0272246267376013E-2</v>
      </c>
      <c r="CS364" s="16">
        <f t="shared" si="62"/>
        <v>8.3286671005809568E-2</v>
      </c>
    </row>
    <row r="365" spans="92:97" x14ac:dyDescent="0.45">
      <c r="CN365" s="8">
        <v>181</v>
      </c>
      <c r="CO365" s="49">
        <v>0.05</v>
      </c>
      <c r="CP365" s="17">
        <v>-2.1505061843723732E-3</v>
      </c>
      <c r="CQ365" s="17">
        <v>5.1566577939297113E-3</v>
      </c>
      <c r="CR365" s="17">
        <v>3.0208879789061376E-2</v>
      </c>
      <c r="CS365" s="16">
        <f t="shared" si="62"/>
        <v>8.3215031398618716E-2</v>
      </c>
    </row>
    <row r="366" spans="92:97" x14ac:dyDescent="0.45">
      <c r="CN366" s="8">
        <v>181.5</v>
      </c>
      <c r="CO366" s="49">
        <v>0.05</v>
      </c>
      <c r="CP366" s="17">
        <v>-2.1445841621644977E-3</v>
      </c>
      <c r="CQ366" s="17">
        <v>5.1425068809967433E-3</v>
      </c>
      <c r="CR366" s="17">
        <v>3.0145668803660992E-2</v>
      </c>
      <c r="CS366" s="16">
        <f t="shared" si="62"/>
        <v>8.3143591522493246E-2</v>
      </c>
    </row>
    <row r="367" spans="92:97" x14ac:dyDescent="0.45">
      <c r="CN367" s="8">
        <v>182</v>
      </c>
      <c r="CO367" s="49">
        <v>0.05</v>
      </c>
      <c r="CP367" s="17">
        <v>-2.1386946166189395E-3</v>
      </c>
      <c r="CQ367" s="17">
        <v>5.1284323512898996E-3</v>
      </c>
      <c r="CR367" s="17">
        <v>3.0082613730035897E-2</v>
      </c>
      <c r="CS367" s="16">
        <f t="shared" si="62"/>
        <v>8.3072351464706859E-2</v>
      </c>
    </row>
    <row r="368" spans="92:97" x14ac:dyDescent="0.45">
      <c r="CN368" s="8">
        <v>182.5</v>
      </c>
      <c r="CO368" s="49">
        <v>0.05</v>
      </c>
      <c r="CP368" s="17">
        <v>-2.1328372825180565E-3</v>
      </c>
      <c r="CQ368" s="17">
        <v>5.114433610840058E-3</v>
      </c>
      <c r="CR368" s="17">
        <v>3.0019714969898633E-2</v>
      </c>
      <c r="CS368" s="16">
        <f t="shared" si="62"/>
        <v>8.3001311298220637E-2</v>
      </c>
    </row>
    <row r="369" spans="92:97" x14ac:dyDescent="0.45">
      <c r="CN369" s="8">
        <v>183</v>
      </c>
      <c r="CO369" s="49">
        <v>0.05</v>
      </c>
      <c r="CP369" s="17">
        <v>-2.1270118974953257E-3</v>
      </c>
      <c r="CQ369" s="17">
        <v>5.1005100713451892E-3</v>
      </c>
      <c r="CR369" s="17">
        <v>2.9956972908099448E-2</v>
      </c>
      <c r="CS369" s="16">
        <f t="shared" si="62"/>
        <v>8.2930471081949314E-2</v>
      </c>
    </row>
    <row r="370" spans="92:97" x14ac:dyDescent="0.45">
      <c r="CN370" s="8">
        <v>183.5</v>
      </c>
      <c r="CO370" s="49">
        <v>0.05</v>
      </c>
      <c r="CP370" s="17">
        <v>-2.1212182019978102E-3</v>
      </c>
      <c r="CQ370" s="17">
        <v>5.0866611501128563E-3</v>
      </c>
      <c r="CR370" s="17">
        <v>2.9894387912908511E-2</v>
      </c>
      <c r="CS370" s="16">
        <f t="shared" si="62"/>
        <v>8.2859830861023567E-2</v>
      </c>
    </row>
    <row r="371" spans="92:97" x14ac:dyDescent="0.45">
      <c r="CN371" s="8">
        <v>184</v>
      </c>
      <c r="CO371" s="49">
        <v>0.05</v>
      </c>
      <c r="CP371" s="17">
        <v>-2.1154559392492075E-3</v>
      </c>
      <c r="CQ371" s="17">
        <v>5.0728862700032025E-3</v>
      </c>
      <c r="CR371" s="17">
        <v>2.983196033629406E-2</v>
      </c>
      <c r="CS371" s="16">
        <f t="shared" si="62"/>
        <v>8.2789390667048046E-2</v>
      </c>
    </row>
    <row r="372" spans="92:97" x14ac:dyDescent="0.45">
      <c r="CN372" s="8">
        <v>184.5</v>
      </c>
      <c r="CO372" s="49">
        <v>0.05</v>
      </c>
      <c r="CP372" s="17">
        <v>-2.1097248552134577E-3</v>
      </c>
      <c r="CQ372" s="17">
        <v>5.0591848593724096E-3</v>
      </c>
      <c r="CR372" s="17">
        <v>2.976969051419659E-2</v>
      </c>
      <c r="CS372" s="16">
        <f t="shared" si="62"/>
        <v>8.2719150518355544E-2</v>
      </c>
    </row>
    <row r="373" spans="92:97" x14ac:dyDescent="0.45">
      <c r="CN373" s="8">
        <v>185</v>
      </c>
      <c r="CO373" s="49">
        <v>0.05</v>
      </c>
      <c r="CP373" s="17">
        <v>-2.1040246985589103E-3</v>
      </c>
      <c r="CQ373" s="17">
        <v>5.0455563520166351E-3</v>
      </c>
      <c r="CR373" s="17">
        <v>2.9707578766799188E-2</v>
      </c>
      <c r="CS373" s="16">
        <f t="shared" si="62"/>
        <v>8.2649110420256924E-2</v>
      </c>
    </row>
    <row r="374" spans="92:97" x14ac:dyDescent="0.45">
      <c r="CN374" s="8">
        <v>185.5</v>
      </c>
      <c r="CO374" s="49">
        <v>0.05</v>
      </c>
      <c r="CP374" s="17">
        <v>-2.0983552206230386E-3</v>
      </c>
      <c r="CQ374" s="17">
        <v>5.0320001871164361E-3</v>
      </c>
      <c r="CR374" s="17">
        <v>2.9645625398794003E-2</v>
      </c>
      <c r="CS374" s="16">
        <f t="shared" si="62"/>
        <v>8.2579270365287408E-2</v>
      </c>
    </row>
    <row r="375" spans="92:97" x14ac:dyDescent="0.45">
      <c r="CN375" s="8">
        <v>186</v>
      </c>
      <c r="CO375" s="49">
        <v>0.05</v>
      </c>
      <c r="CP375" s="17">
        <v>-2.0927161753776877E-3</v>
      </c>
      <c r="CQ375" s="17">
        <v>5.0185158091816725E-3</v>
      </c>
      <c r="CR375" s="17">
        <v>2.9583830699644879E-2</v>
      </c>
      <c r="CS375" s="16">
        <f t="shared" si="62"/>
        <v>8.2509630333448866E-2</v>
      </c>
    </row>
    <row r="376" spans="92:97" x14ac:dyDescent="0.45">
      <c r="CN376" s="8">
        <v>186.5</v>
      </c>
      <c r="CO376" s="49">
        <v>0.05</v>
      </c>
      <c r="CP376" s="17">
        <v>-2.0871073193948525E-3</v>
      </c>
      <c r="CQ376" s="17">
        <v>5.0051026679968878E-3</v>
      </c>
      <c r="CR376" s="17">
        <v>2.9522194943846298E-2</v>
      </c>
      <c r="CS376" s="16">
        <f t="shared" si="62"/>
        <v>8.2440190292448326E-2</v>
      </c>
    </row>
    <row r="377" spans="92:97" x14ac:dyDescent="0.45">
      <c r="CN377" s="8">
        <v>187</v>
      </c>
      <c r="CO377" s="49">
        <v>0.05</v>
      </c>
      <c r="CP377" s="17">
        <v>-2.0815284118129765E-3</v>
      </c>
      <c r="CQ377" s="17">
        <v>4.991760218567183E-3</v>
      </c>
      <c r="CR377" s="17">
        <v>2.9460718391178586E-2</v>
      </c>
      <c r="CS377" s="16">
        <f t="shared" si="62"/>
        <v>8.2370950197932793E-2</v>
      </c>
    </row>
    <row r="378" spans="92:97" x14ac:dyDescent="0.45">
      <c r="CN378" s="8">
        <v>187.5</v>
      </c>
      <c r="CO378" s="49">
        <v>0.05</v>
      </c>
      <c r="CP378" s="17">
        <v>-2.0759792143037552E-3</v>
      </c>
      <c r="CQ378" s="17">
        <v>4.978487921064559E-3</v>
      </c>
      <c r="CR378" s="17">
        <v>2.939940128695951E-2</v>
      </c>
      <c r="CS378" s="16">
        <f t="shared" si="62"/>
        <v>8.2301909993720321E-2</v>
      </c>
    </row>
    <row r="379" spans="92:97" x14ac:dyDescent="0.45">
      <c r="CN379" s="8">
        <v>188</v>
      </c>
      <c r="CO379" s="49">
        <v>0.05</v>
      </c>
      <c r="CP379" s="17">
        <v>-2.0704594910394467E-3</v>
      </c>
      <c r="CQ379" s="17">
        <v>4.9652852407747463E-3</v>
      </c>
      <c r="CR379" s="17">
        <v>2.9338243862292231E-2</v>
      </c>
      <c r="CS379" s="16">
        <f t="shared" si="62"/>
        <v>8.2233069612027532E-2</v>
      </c>
    </row>
    <row r="380" spans="92:97" x14ac:dyDescent="0.45">
      <c r="CN380" s="8">
        <v>188.5</v>
      </c>
      <c r="CO380" s="49">
        <v>0.05</v>
      </c>
      <c r="CP380" s="17">
        <v>-2.0649690086606692E-3</v>
      </c>
      <c r="CQ380" s="17">
        <v>4.9521516480445183E-3</v>
      </c>
      <c r="CR380" s="17">
        <v>2.9277246334309739E-2</v>
      </c>
      <c r="CS380" s="16">
        <f t="shared" si="62"/>
        <v>8.2164428973693582E-2</v>
      </c>
    </row>
    <row r="381" spans="92:97" x14ac:dyDescent="0.45">
      <c r="CN381" s="8">
        <v>189</v>
      </c>
      <c r="CO381" s="49">
        <v>0.05</v>
      </c>
      <c r="CP381" s="17">
        <v>-2.0595075362446888E-3</v>
      </c>
      <c r="CQ381" s="17">
        <v>4.9390866182294864E-3</v>
      </c>
      <c r="CR381" s="17">
        <v>2.9216408906415789E-2</v>
      </c>
      <c r="CS381" s="16">
        <f t="shared" si="62"/>
        <v>8.2095987988400593E-2</v>
      </c>
    </row>
    <row r="382" spans="92:97" x14ac:dyDescent="0.45">
      <c r="CN382" s="8">
        <v>189.5</v>
      </c>
      <c r="CO382" s="49">
        <v>0.05</v>
      </c>
      <c r="CP382" s="17">
        <v>-2.0540748452741809E-3</v>
      </c>
      <c r="CQ382" s="17">
        <v>4.9260896316423658E-3</v>
      </c>
      <c r="CR382" s="17">
        <v>2.9155731768522368E-2</v>
      </c>
      <c r="CS382" s="16">
        <f t="shared" si="62"/>
        <v>8.2027746554890563E-2</v>
      </c>
    </row>
    <row r="383" spans="92:97" x14ac:dyDescent="0.45">
      <c r="CN383" s="8">
        <v>190</v>
      </c>
      <c r="CO383" s="49">
        <v>0.05</v>
      </c>
      <c r="CP383" s="17">
        <v>-2.0486707096064555E-3</v>
      </c>
      <c r="CQ383" s="17">
        <v>4.9131601735017284E-3</v>
      </c>
      <c r="CR383" s="17">
        <v>2.909521509728373E-2</v>
      </c>
      <c r="CS383" s="16">
        <f t="shared" si="62"/>
        <v>8.1959704561179014E-2</v>
      </c>
    </row>
    <row r="384" spans="92:97" x14ac:dyDescent="0.45">
      <c r="CN384" s="8">
        <v>190.5</v>
      </c>
      <c r="CO384" s="49">
        <v>0.05</v>
      </c>
      <c r="CP384" s="17">
        <v>-2.0432949054431529E-3</v>
      </c>
      <c r="CQ384" s="17">
        <v>4.9002977338812349E-3</v>
      </c>
      <c r="CR384" s="17">
        <v>2.9034859056327141E-2</v>
      </c>
      <c r="CS384" s="16">
        <f t="shared" si="62"/>
        <v>8.1891861884765216E-2</v>
      </c>
    </row>
    <row r="385" spans="92:97" x14ac:dyDescent="0.45">
      <c r="CN385" s="8">
        <v>191</v>
      </c>
      <c r="CO385" s="49">
        <v>0.05</v>
      </c>
      <c r="CP385" s="17">
        <v>-2.03794721130038E-3</v>
      </c>
      <c r="CQ385" s="17">
        <v>4.8875018076593351E-3</v>
      </c>
      <c r="CR385" s="17">
        <v>2.8974663796480216E-2</v>
      </c>
      <c r="CS385" s="16">
        <f t="shared" si="62"/>
        <v>8.1824218392839182E-2</v>
      </c>
    </row>
    <row r="386" spans="92:97" x14ac:dyDescent="0.45">
      <c r="CN386" s="8">
        <v>191.5</v>
      </c>
      <c r="CO386" s="49">
        <v>0.05</v>
      </c>
      <c r="CP386" s="17">
        <v>-2.0326274079793013E-3</v>
      </c>
      <c r="CQ386" s="17">
        <v>4.8747718944694473E-3</v>
      </c>
      <c r="CR386" s="17">
        <v>2.8914629455995041E-2</v>
      </c>
      <c r="CS386" s="16">
        <f t="shared" si="62"/>
        <v>8.1756773942485192E-2</v>
      </c>
    </row>
    <row r="387" spans="92:97" x14ac:dyDescent="0.45">
      <c r="CN387" s="8">
        <v>192</v>
      </c>
      <c r="CO387" s="49">
        <v>0.05</v>
      </c>
      <c r="CP387" s="17">
        <v>-2.0273352785371594E-3</v>
      </c>
      <c r="CQ387" s="17">
        <v>4.8621074986506148E-3</v>
      </c>
      <c r="CR387" s="17">
        <v>2.8854756160769077E-2</v>
      </c>
      <c r="CS387" s="16">
        <f t="shared" si="62"/>
        <v>8.1689528380882531E-2</v>
      </c>
    </row>
    <row r="388" spans="92:97" x14ac:dyDescent="0.45">
      <c r="CN388" s="8">
        <v>192.5</v>
      </c>
      <c r="CO388" s="49">
        <v>0.05</v>
      </c>
      <c r="CP388" s="17">
        <v>-2.0220706082587337E-3</v>
      </c>
      <c r="CQ388" s="17">
        <v>4.8495081291986351E-3</v>
      </c>
      <c r="CR388" s="17">
        <v>2.8795044024562795E-2</v>
      </c>
      <c r="CS388" s="16">
        <f t="shared" si="62"/>
        <v>8.1622481545502695E-2</v>
      </c>
    </row>
    <row r="389" spans="92:97" x14ac:dyDescent="0.45">
      <c r="CN389" s="8">
        <v>193</v>
      </c>
      <c r="CO389" s="49">
        <v>0.05</v>
      </c>
      <c r="CP389" s="17">
        <v>-2.0168331846282146E-3</v>
      </c>
      <c r="CQ389" s="17">
        <v>4.8369732997176488E-3</v>
      </c>
      <c r="CR389" s="17">
        <v>2.8735493149214295E-2</v>
      </c>
      <c r="CS389" s="16">
        <f t="shared" si="62"/>
        <v>8.1555633264303734E-2</v>
      </c>
    </row>
    <row r="390" spans="92:97" x14ac:dyDescent="0.45">
      <c r="CN390" s="8">
        <v>193.5</v>
      </c>
      <c r="CO390" s="49">
        <v>0.05</v>
      </c>
      <c r="CP390" s="17">
        <v>-2.0116227973014963E-3</v>
      </c>
      <c r="CQ390" s="17">
        <v>4.8245025283722076E-3</v>
      </c>
      <c r="CR390" s="17">
        <v>2.8676103624850683E-2</v>
      </c>
      <c r="CS390" s="16">
        <f t="shared" ref="CS390:CS453" si="63">SUM(CO390:CR390)</f>
        <v>8.1488983355921404E-2</v>
      </c>
    </row>
    <row r="391" spans="92:97" x14ac:dyDescent="0.45">
      <c r="CN391" s="8">
        <v>194</v>
      </c>
      <c r="CO391" s="49">
        <v>0.05</v>
      </c>
      <c r="CP391" s="17">
        <v>-2.0064392380788809E-3</v>
      </c>
      <c r="CQ391" s="17">
        <v>4.8120953378398088E-3</v>
      </c>
      <c r="CR391" s="17">
        <v>2.8616875530096515E-2</v>
      </c>
      <c r="CS391" s="16">
        <f t="shared" si="63"/>
        <v>8.1422531629857436E-2</v>
      </c>
    </row>
    <row r="392" spans="92:97" x14ac:dyDescent="0.45">
      <c r="CN392" s="8">
        <v>194.5</v>
      </c>
      <c r="CO392" s="49">
        <v>0.05</v>
      </c>
      <c r="CP392" s="17">
        <v>-2.0012823008781796E-3</v>
      </c>
      <c r="CQ392" s="17">
        <v>4.7997512552638835E-3</v>
      </c>
      <c r="CR392" s="17">
        <v>2.8557808932279143E-2</v>
      </c>
      <c r="CS392" s="16">
        <f t="shared" si="63"/>
        <v>8.1356277886664857E-2</v>
      </c>
    </row>
    <row r="393" spans="92:97" x14ac:dyDescent="0.45">
      <c r="CN393" s="8">
        <v>195</v>
      </c>
      <c r="CO393" s="49">
        <v>0.05</v>
      </c>
      <c r="CP393" s="17">
        <v>-1.9961517817082136E-3</v>
      </c>
      <c r="CQ393" s="17">
        <v>4.7874698122072632E-3</v>
      </c>
      <c r="CR393" s="17">
        <v>2.8498903887631107E-2</v>
      </c>
      <c r="CS393" s="16">
        <f t="shared" si="63"/>
        <v>8.1290221918130151E-2</v>
      </c>
    </row>
    <row r="394" spans="92:97" x14ac:dyDescent="0.45">
      <c r="CN394" s="8">
        <v>195.5</v>
      </c>
      <c r="CO394" s="49">
        <v>0.05</v>
      </c>
      <c r="CP394" s="17">
        <v>-1.9910474786427003E-3</v>
      </c>
      <c r="CQ394" s="17">
        <v>4.7752505446060876E-3</v>
      </c>
      <c r="CR394" s="17">
        <v>2.8440160441489611E-2</v>
      </c>
      <c r="CS394" s="16">
        <f t="shared" si="63"/>
        <v>8.1224363507453004E-2</v>
      </c>
    </row>
    <row r="395" spans="92:97" x14ac:dyDescent="0.45">
      <c r="CN395" s="8">
        <v>196</v>
      </c>
      <c r="CO395" s="49">
        <v>0.05</v>
      </c>
      <c r="CP395" s="17">
        <v>-1.9859691917945266E-3</v>
      </c>
      <c r="CQ395" s="17">
        <v>4.7630929927241902E-3</v>
      </c>
      <c r="CR395" s="17">
        <v>2.8381578628493061E-2</v>
      </c>
      <c r="CS395" s="16">
        <f t="shared" si="63"/>
        <v>8.1158702429422719E-2</v>
      </c>
    </row>
    <row r="396" spans="92:97" x14ac:dyDescent="0.45">
      <c r="CN396" s="8">
        <v>196.5</v>
      </c>
      <c r="CO396" s="49">
        <v>0.05</v>
      </c>
      <c r="CP396" s="17">
        <v>-1.9809167232903908E-3</v>
      </c>
      <c r="CQ396" s="17">
        <v>4.7509967011079195E-3</v>
      </c>
      <c r="CR396" s="17">
        <v>2.8323158472774768E-2</v>
      </c>
      <c r="CS396" s="16">
        <f t="shared" si="63"/>
        <v>8.1093238450592298E-2</v>
      </c>
    </row>
    <row r="397" spans="92:97" x14ac:dyDescent="0.45">
      <c r="CN397" s="8">
        <v>197</v>
      </c>
      <c r="CO397" s="49">
        <v>0.05</v>
      </c>
      <c r="CP397" s="17">
        <v>-1.9758898772458218E-3</v>
      </c>
      <c r="CQ397" s="17">
        <v>4.7389612185414322E-3</v>
      </c>
      <c r="CR397" s="17">
        <v>2.826489998815386E-2</v>
      </c>
      <c r="CS397" s="16">
        <f t="shared" si="63"/>
        <v>8.1027971329449472E-2</v>
      </c>
    </row>
    <row r="398" spans="92:97" x14ac:dyDescent="0.45">
      <c r="CN398" s="8">
        <v>197.5</v>
      </c>
      <c r="CO398" s="49">
        <v>0.05</v>
      </c>
      <c r="CP398" s="17">
        <v>-1.9708884597405569E-3</v>
      </c>
      <c r="CQ398" s="17">
        <v>4.7269860980024142E-3</v>
      </c>
      <c r="CR398" s="17">
        <v>2.8206803178323338E-2</v>
      </c>
      <c r="CS398" s="16">
        <f t="shared" si="63"/>
        <v>8.0962900816585193E-2</v>
      </c>
    </row>
    <row r="399" spans="92:97" x14ac:dyDescent="0.45">
      <c r="CN399" s="8">
        <v>198</v>
      </c>
      <c r="CO399" s="49">
        <v>0.05</v>
      </c>
      <c r="CP399" s="17">
        <v>-1.9659122787942813E-3</v>
      </c>
      <c r="CQ399" s="17">
        <v>4.7150708966182727E-3</v>
      </c>
      <c r="CR399" s="17">
        <v>2.8148868037035459E-2</v>
      </c>
      <c r="CS399" s="16">
        <f t="shared" si="63"/>
        <v>8.0898026654859456E-2</v>
      </c>
    </row>
    <row r="400" spans="92:97" x14ac:dyDescent="0.45">
      <c r="CN400" s="8">
        <v>198.5</v>
      </c>
      <c r="CO400" s="49">
        <v>0.05</v>
      </c>
      <c r="CP400" s="17">
        <v>-1.9609611443427146E-3</v>
      </c>
      <c r="CQ400" s="17">
        <v>4.7032151756227552E-3</v>
      </c>
      <c r="CR400" s="17">
        <v>2.8091094548284387E-2</v>
      </c>
      <c r="CS400" s="16">
        <f t="shared" si="63"/>
        <v>8.0833348579564424E-2</v>
      </c>
    </row>
    <row r="401" spans="92:97" x14ac:dyDescent="0.45">
      <c r="CN401" s="8">
        <v>199</v>
      </c>
      <c r="CO401" s="49">
        <v>0.05</v>
      </c>
      <c r="CP401" s="17">
        <v>-1.9560348682140468E-3</v>
      </c>
      <c r="CQ401" s="17">
        <v>4.6914185003130195E-3</v>
      </c>
      <c r="CR401" s="17">
        <v>2.8033482686486158E-2</v>
      </c>
      <c r="CS401" s="16">
        <f t="shared" si="63"/>
        <v>8.0768866318585139E-2</v>
      </c>
    </row>
    <row r="402" spans="92:97" x14ac:dyDescent="0.45">
      <c r="CN402" s="8">
        <v>199.5</v>
      </c>
      <c r="CO402" s="49">
        <v>0.05</v>
      </c>
      <c r="CP402" s="17">
        <v>-1.9511332641057155E-3</v>
      </c>
      <c r="CQ402" s="17">
        <v>4.6796804400071413E-3</v>
      </c>
      <c r="CR402" s="17">
        <v>2.7976032416656027E-2</v>
      </c>
      <c r="CS402" s="16">
        <f t="shared" si="63"/>
        <v>8.0704579592557446E-2</v>
      </c>
    </row>
    <row r="403" spans="92:97" x14ac:dyDescent="0.45">
      <c r="CN403" s="8">
        <v>200</v>
      </c>
      <c r="CO403" s="49">
        <v>0.05</v>
      </c>
      <c r="CP403" s="17">
        <v>-1.9462561475615133E-3</v>
      </c>
      <c r="CQ403" s="17">
        <v>4.6680005680020528E-3</v>
      </c>
      <c r="CR403" s="17">
        <v>2.7918743694583224E-2</v>
      </c>
      <c r="CS403" s="16">
        <f t="shared" si="63"/>
        <v>8.0640488115023765E-2</v>
      </c>
    </row>
    <row r="404" spans="92:97" x14ac:dyDescent="0.45">
      <c r="CN404" s="8">
        <v>200.5</v>
      </c>
      <c r="CO404" s="49">
        <v>0.05</v>
      </c>
      <c r="CP404" s="17">
        <v>-1.941403335949029E-3</v>
      </c>
      <c r="CQ404" s="17">
        <v>4.6563784615319221E-3</v>
      </c>
      <c r="CR404" s="17">
        <v>2.7861616467003122E-2</v>
      </c>
      <c r="CS404" s="16">
        <f t="shared" si="63"/>
        <v>8.0576591592586011E-2</v>
      </c>
    </row>
    <row r="405" spans="92:97" x14ac:dyDescent="0.45">
      <c r="CN405" s="8">
        <v>201</v>
      </c>
      <c r="CO405" s="49">
        <v>0.05</v>
      </c>
      <c r="CP405" s="17">
        <v>-1.9365746484374118E-3</v>
      </c>
      <c r="CQ405" s="17">
        <v>4.6448137017269606E-3</v>
      </c>
      <c r="CR405" s="17">
        <v>2.7804650671766913E-2</v>
      </c>
      <c r="CS405" s="16">
        <f t="shared" si="63"/>
        <v>8.0512889725056463E-2</v>
      </c>
    </row>
    <row r="406" spans="92:97" x14ac:dyDescent="0.45">
      <c r="CN406" s="8">
        <v>201.5</v>
      </c>
      <c r="CO406" s="49">
        <v>0.05</v>
      </c>
      <c r="CP406" s="17">
        <v>-1.9317699059754518E-3</v>
      </c>
      <c r="CQ406" s="17">
        <v>4.6333058735726559E-3</v>
      </c>
      <c r="CR406" s="17">
        <v>2.7747846238008751E-2</v>
      </c>
      <c r="CS406" s="16">
        <f t="shared" si="63"/>
        <v>8.0449382205605963E-2</v>
      </c>
    </row>
    <row r="407" spans="92:97" x14ac:dyDescent="0.45">
      <c r="CN407" s="8">
        <v>202</v>
      </c>
      <c r="CO407" s="49">
        <v>0.05</v>
      </c>
      <c r="CP407" s="17">
        <v>-1.9269889312699764E-3</v>
      </c>
      <c r="CQ407" s="17">
        <v>4.621854565869425E-3</v>
      </c>
      <c r="CR407" s="17">
        <v>2.7691203086310432E-2</v>
      </c>
      <c r="CS407" s="16">
        <f t="shared" si="63"/>
        <v>8.0386068720909878E-2</v>
      </c>
    </row>
    <row r="408" spans="92:97" x14ac:dyDescent="0.45">
      <c r="CN408" s="8">
        <v>202.5</v>
      </c>
      <c r="CO408" s="49">
        <v>0.05</v>
      </c>
      <c r="CP408" s="17">
        <v>-1.9222315487645552E-3</v>
      </c>
      <c r="CQ408" s="17">
        <v>4.610459371192705E-3</v>
      </c>
      <c r="CR408" s="17">
        <v>2.7634721128863716E-2</v>
      </c>
      <c r="CS408" s="16">
        <f t="shared" si="63"/>
        <v>8.032294895129187E-2</v>
      </c>
    </row>
    <row r="409" spans="92:97" x14ac:dyDescent="0.45">
      <c r="CN409" s="8">
        <v>203</v>
      </c>
      <c r="CO409" s="49">
        <v>0.05</v>
      </c>
      <c r="CP409" s="17">
        <v>-1.9174975846185064E-3</v>
      </c>
      <c r="CQ409" s="17">
        <v>4.5991198858534345E-3</v>
      </c>
      <c r="CR409" s="17">
        <v>2.7578400269630168E-2</v>
      </c>
      <c r="CS409" s="16">
        <f t="shared" si="63"/>
        <v>8.0260022570865105E-2</v>
      </c>
    </row>
    <row r="410" spans="92:97" x14ac:dyDescent="0.45">
      <c r="CN410" s="8">
        <v>203.5</v>
      </c>
      <c r="CO410" s="49">
        <v>0.05</v>
      </c>
      <c r="CP410" s="17">
        <v>-1.9127868666862029E-3</v>
      </c>
      <c r="CQ410" s="17">
        <v>4.5878357098589825E-3</v>
      </c>
      <c r="CR410" s="17">
        <v>2.7522240404498681E-2</v>
      </c>
      <c r="CS410" s="16">
        <f t="shared" si="63"/>
        <v>8.0197289247671472E-2</v>
      </c>
    </row>
    <row r="411" spans="92:97" x14ac:dyDescent="0.45">
      <c r="CN411" s="8">
        <v>204</v>
      </c>
      <c r="CO411" s="49">
        <v>0.05</v>
      </c>
      <c r="CP411" s="17">
        <v>-1.9080992244966731E-3</v>
      </c>
      <c r="CQ411" s="17">
        <v>4.5766064468744571E-3</v>
      </c>
      <c r="CR411" s="17">
        <v>2.7466241421440656E-2</v>
      </c>
      <c r="CS411" s="16">
        <f t="shared" si="63"/>
        <v>8.0134748643818449E-2</v>
      </c>
    </row>
    <row r="412" spans="92:97" x14ac:dyDescent="0.45">
      <c r="CN412" s="8">
        <v>204.5</v>
      </c>
      <c r="CO412" s="49">
        <v>0.05</v>
      </c>
      <c r="CP412" s="17">
        <v>-1.9034344892334889E-3</v>
      </c>
      <c r="CQ412" s="17">
        <v>4.5654317041844495E-3</v>
      </c>
      <c r="CR412" s="17">
        <v>2.7410403200662924E-2</v>
      </c>
      <c r="CS412" s="16">
        <f t="shared" si="63"/>
        <v>8.0072400415613892E-2</v>
      </c>
    </row>
    <row r="413" spans="92:97" x14ac:dyDescent="0.45">
      <c r="CN413" s="8">
        <v>205</v>
      </c>
      <c r="CO413" s="49">
        <v>0.05</v>
      </c>
      <c r="CP413" s="17">
        <v>-1.8987924937149373E-3</v>
      </c>
      <c r="CQ413" s="17">
        <v>4.5543110926551606E-3</v>
      </c>
      <c r="CR413" s="17">
        <v>2.7354725614758314E-2</v>
      </c>
      <c r="CS413" s="16">
        <f t="shared" si="63"/>
        <v>8.0010244213698539E-2</v>
      </c>
    </row>
    <row r="414" spans="92:97" x14ac:dyDescent="0.45">
      <c r="CN414" s="8">
        <v>205.5</v>
      </c>
      <c r="CO414" s="49">
        <v>0.05</v>
      </c>
      <c r="CP414" s="17">
        <v>-1.8941730723744759E-3</v>
      </c>
      <c r="CQ414" s="17">
        <v>4.5432442266969495E-3</v>
      </c>
      <c r="CR414" s="17">
        <v>2.7299208528854101E-2</v>
      </c>
      <c r="CS414" s="16">
        <f t="shared" si="63"/>
        <v>7.9948279683176582E-2</v>
      </c>
    </row>
    <row r="415" spans="92:97" x14ac:dyDescent="0.45">
      <c r="CN415" s="8">
        <v>206</v>
      </c>
      <c r="CO415" s="49">
        <v>0.05</v>
      </c>
      <c r="CP415" s="17">
        <v>-1.8895760612414588E-3</v>
      </c>
      <c r="CQ415" s="17">
        <v>4.5322307242272666E-3</v>
      </c>
      <c r="CR415" s="17">
        <v>2.7243851800758133E-2</v>
      </c>
      <c r="CS415" s="16">
        <f t="shared" si="63"/>
        <v>7.9886506463743942E-2</v>
      </c>
    </row>
    <row r="416" spans="92:97" x14ac:dyDescent="0.45">
      <c r="CN416" s="8">
        <v>206.5</v>
      </c>
      <c r="CO416" s="49">
        <v>0.05</v>
      </c>
      <c r="CP416" s="17">
        <v>-1.8850012979221363E-3</v>
      </c>
      <c r="CQ416" s="17">
        <v>4.5212702066339825E-3</v>
      </c>
      <c r="CR416" s="17">
        <v>2.7188655281102873E-2</v>
      </c>
      <c r="CS416" s="16">
        <f t="shared" si="63"/>
        <v>7.9824924189814725E-2</v>
      </c>
    </row>
    <row r="417" spans="92:97" x14ac:dyDescent="0.45">
      <c r="CN417" s="8">
        <v>207</v>
      </c>
      <c r="CO417" s="49">
        <v>0.05</v>
      </c>
      <c r="CP417" s="17">
        <v>-1.88044862158092E-3</v>
      </c>
      <c r="CQ417" s="17">
        <v>4.510362298739125E-3</v>
      </c>
      <c r="CR417" s="17">
        <v>2.7133618813487245E-2</v>
      </c>
      <c r="CS417" s="16">
        <f t="shared" si="63"/>
        <v>7.9763532490645453E-2</v>
      </c>
    </row>
    <row r="418" spans="92:97" x14ac:dyDescent="0.45">
      <c r="CN418" s="8">
        <v>207.5</v>
      </c>
      <c r="CO418" s="49">
        <v>0.05</v>
      </c>
      <c r="CP418" s="17">
        <v>-1.8759178729219109E-3</v>
      </c>
      <c r="CQ418" s="17">
        <v>4.4995066287629787E-3</v>
      </c>
      <c r="CR418" s="17">
        <v>2.7078742234616371E-2</v>
      </c>
      <c r="CS418" s="16">
        <f t="shared" si="63"/>
        <v>7.970233099045744E-2</v>
      </c>
    </row>
    <row r="419" spans="92:97" x14ac:dyDescent="0.45">
      <c r="CN419" s="8">
        <v>208</v>
      </c>
      <c r="CO419" s="49">
        <v>0.05</v>
      </c>
      <c r="CP419" s="17">
        <v>-1.8714088941706836E-3</v>
      </c>
      <c r="CQ419" s="17">
        <v>4.4887028282885929E-3</v>
      </c>
      <c r="CR419" s="17">
        <v>2.7024025374439247E-2</v>
      </c>
      <c r="CS419" s="16">
        <f t="shared" si="63"/>
        <v>7.9641319308557154E-2</v>
      </c>
    </row>
    <row r="420" spans="92:97" x14ac:dyDescent="0.45">
      <c r="CN420" s="8">
        <v>208.5</v>
      </c>
      <c r="CO420" s="49">
        <v>0.05</v>
      </c>
      <c r="CP420" s="17">
        <v>-1.8669215290563288E-3</v>
      </c>
      <c r="CQ420" s="17">
        <v>4.4779505322266634E-3</v>
      </c>
      <c r="CR420" s="17">
        <v>2.6969468056284317E-2</v>
      </c>
      <c r="CS420" s="16">
        <f t="shared" si="63"/>
        <v>7.9580497059454663E-2</v>
      </c>
    </row>
    <row r="421" spans="92:97" x14ac:dyDescent="0.45">
      <c r="CN421" s="8">
        <v>209</v>
      </c>
      <c r="CO421" s="49">
        <v>0.05</v>
      </c>
      <c r="CP421" s="17">
        <v>-1.8624556227937409E-3</v>
      </c>
      <c r="CQ421" s="17">
        <v>4.4672493787807823E-3</v>
      </c>
      <c r="CR421" s="17">
        <v>2.6915070096993076E-2</v>
      </c>
      <c r="CS421" s="16">
        <f t="shared" si="63"/>
        <v>7.9519863852980127E-2</v>
      </c>
    </row>
    <row r="422" spans="92:97" x14ac:dyDescent="0.45">
      <c r="CN422" s="8">
        <v>209.5</v>
      </c>
      <c r="CO422" s="49">
        <v>0.05</v>
      </c>
      <c r="CP422" s="17">
        <v>-1.8580110220661541E-3</v>
      </c>
      <c r="CQ422" s="17">
        <v>4.4565990094130844E-3</v>
      </c>
      <c r="CR422" s="17">
        <v>2.6860831307051587E-2</v>
      </c>
      <c r="CS422" s="16">
        <f t="shared" si="63"/>
        <v>7.9459419294398523E-2</v>
      </c>
    </row>
    <row r="423" spans="92:97" x14ac:dyDescent="0.45">
      <c r="CN423" s="8">
        <v>210</v>
      </c>
      <c r="CO423" s="49">
        <v>0.05</v>
      </c>
      <c r="CP423" s="17">
        <v>-1.8535875750079209E-3</v>
      </c>
      <c r="CQ423" s="17">
        <v>4.4459990688102457E-3</v>
      </c>
      <c r="CR423" s="17">
        <v>2.6806751490720107E-2</v>
      </c>
      <c r="CS423" s="16">
        <f t="shared" si="63"/>
        <v>7.9399162984522431E-2</v>
      </c>
    </row>
    <row r="424" spans="92:97" x14ac:dyDescent="0.45">
      <c r="CN424" s="8">
        <v>210.5</v>
      </c>
      <c r="CO424" s="49">
        <v>0.05</v>
      </c>
      <c r="CP424" s="17">
        <v>-1.8491851311875276E-3</v>
      </c>
      <c r="CQ424" s="17">
        <v>4.4354492048498621E-3</v>
      </c>
      <c r="CR424" s="17">
        <v>2.6752830446160714E-2</v>
      </c>
      <c r="CS424" s="16">
        <f t="shared" si="63"/>
        <v>7.9339094519823045E-2</v>
      </c>
    </row>
    <row r="425" spans="92:97" x14ac:dyDescent="0.45">
      <c r="CN425" s="8">
        <v>211</v>
      </c>
      <c r="CO425" s="49">
        <v>0.05</v>
      </c>
      <c r="CP425" s="17">
        <v>-1.8448035415908454E-3</v>
      </c>
      <c r="CQ425" s="17">
        <v>4.4249490685671919E-3</v>
      </c>
      <c r="CR425" s="17">
        <v>2.6699067965563011E-2</v>
      </c>
      <c r="CS425" s="16">
        <f t="shared" si="63"/>
        <v>7.9279213492539358E-2</v>
      </c>
    </row>
    <row r="426" spans="92:97" x14ac:dyDescent="0.45">
      <c r="CN426" s="8">
        <v>211.5</v>
      </c>
      <c r="CO426" s="49">
        <v>0.05</v>
      </c>
      <c r="CP426" s="17">
        <v>-1.8404426586046115E-3</v>
      </c>
      <c r="CQ426" s="17">
        <v>4.4144983141222493E-3</v>
      </c>
      <c r="CR426" s="17">
        <v>2.6645463835267967E-2</v>
      </c>
      <c r="CS426" s="16">
        <f t="shared" si="63"/>
        <v>7.9219519490785609E-2</v>
      </c>
    </row>
    <row r="427" spans="92:97" x14ac:dyDescent="0.45">
      <c r="CN427" s="8">
        <v>212</v>
      </c>
      <c r="CO427" s="49">
        <v>0.05</v>
      </c>
      <c r="CP427" s="17">
        <v>-1.8361023360001388E-3</v>
      </c>
      <c r="CQ427" s="17">
        <v>4.4040965987672751E-3</v>
      </c>
      <c r="CR427" s="17">
        <v>2.659201783588987E-2</v>
      </c>
      <c r="CS427" s="16">
        <f t="shared" si="63"/>
        <v>7.9160012098657015E-2</v>
      </c>
    </row>
    <row r="428" spans="92:97" x14ac:dyDescent="0.45">
      <c r="CN428" s="8">
        <v>212.5</v>
      </c>
      <c r="CO428" s="49">
        <v>0.05</v>
      </c>
      <c r="CP428" s="17">
        <v>-1.831782428917248E-3</v>
      </c>
      <c r="CQ428" s="17">
        <v>4.3937435828145452E-3</v>
      </c>
      <c r="CR428" s="17">
        <v>2.6538729742436425E-2</v>
      </c>
      <c r="CS428" s="16">
        <f t="shared" si="63"/>
        <v>7.9100690896333731E-2</v>
      </c>
    </row>
    <row r="429" spans="92:97" x14ac:dyDescent="0.45">
      <c r="CN429" s="8">
        <v>213</v>
      </c>
      <c r="CO429" s="49">
        <v>0.05</v>
      </c>
      <c r="CP429" s="17">
        <v>-1.8274827938484194E-3</v>
      </c>
      <c r="CQ429" s="17">
        <v>4.3834389296045417E-3</v>
      </c>
      <c r="CR429" s="17">
        <v>2.6485599324427043E-2</v>
      </c>
      <c r="CS429" s="16">
        <f t="shared" si="63"/>
        <v>7.9041555460183169E-2</v>
      </c>
    </row>
    <row r="430" spans="92:97" x14ac:dyDescent="0.45">
      <c r="CN430" s="8">
        <v>213.5</v>
      </c>
      <c r="CO430" s="49">
        <v>0.05</v>
      </c>
      <c r="CP430" s="17">
        <v>-1.8232032886231625E-3</v>
      </c>
      <c r="CQ430" s="17">
        <v>4.3731823054744632E-3</v>
      </c>
      <c r="CR430" s="17">
        <v>2.643262634600934E-2</v>
      </c>
      <c r="CS430" s="16">
        <f t="shared" si="63"/>
        <v>7.8982605362860642E-2</v>
      </c>
    </row>
    <row r="431" spans="92:97" x14ac:dyDescent="0.45">
      <c r="CN431" s="8">
        <v>214</v>
      </c>
      <c r="CO431" s="49">
        <v>0.05</v>
      </c>
      <c r="CP431" s="17">
        <v>-1.8189437723926006E-3</v>
      </c>
      <c r="CQ431" s="17">
        <v>4.3629733797270944E-3</v>
      </c>
      <c r="CR431" s="17">
        <v>2.6379810566073872E-2</v>
      </c>
      <c r="CS431" s="16">
        <f t="shared" si="63"/>
        <v>7.8923840173408366E-2</v>
      </c>
    </row>
    <row r="432" spans="92:97" x14ac:dyDescent="0.45">
      <c r="CN432" s="8">
        <v>214.5</v>
      </c>
      <c r="CO432" s="49">
        <v>0.05</v>
      </c>
      <c r="CP432" s="17">
        <v>-1.8147041056142611E-3</v>
      </c>
      <c r="CQ432" s="17">
        <v>4.3528118245999958E-3</v>
      </c>
      <c r="CR432" s="17">
        <v>2.6327151738367117E-2</v>
      </c>
      <c r="CS432" s="16">
        <f t="shared" si="63"/>
        <v>7.8865259457352857E-2</v>
      </c>
    </row>
    <row r="433" spans="92:97" x14ac:dyDescent="0.45">
      <c r="CN433" s="8">
        <v>215</v>
      </c>
      <c r="CO433" s="49">
        <v>0.05</v>
      </c>
      <c r="CP433" s="17">
        <v>-1.8104841500370759E-3</v>
      </c>
      <c r="CQ433" s="17">
        <v>4.3426973152350563E-3</v>
      </c>
      <c r="CR433" s="17">
        <v>2.6274649611602707E-2</v>
      </c>
      <c r="CS433" s="16">
        <f t="shared" si="63"/>
        <v>7.8806862776800699E-2</v>
      </c>
    </row>
    <row r="434" spans="92:97" x14ac:dyDescent="0.45">
      <c r="CN434" s="8">
        <v>215.5</v>
      </c>
      <c r="CO434" s="49">
        <v>0.05</v>
      </c>
      <c r="CP434" s="17">
        <v>-1.8062837686865848E-3</v>
      </c>
      <c r="CQ434" s="17">
        <v>4.3326295296483592E-3</v>
      </c>
      <c r="CR434" s="17">
        <v>2.6222303929571051E-2</v>
      </c>
      <c r="CS434" s="16">
        <f t="shared" si="63"/>
        <v>7.8748649690532829E-2</v>
      </c>
    </row>
    <row r="435" spans="92:97" x14ac:dyDescent="0.45">
      <c r="CN435" s="8">
        <v>216</v>
      </c>
      <c r="CO435" s="49">
        <v>0.05</v>
      </c>
      <c r="CP435" s="17">
        <v>-1.8021028258503383E-3</v>
      </c>
      <c r="CQ435" s="17">
        <v>4.3226081487003961E-3</v>
      </c>
      <c r="CR435" s="17">
        <v>2.617011443124715E-2</v>
      </c>
      <c r="CS435" s="16">
        <f t="shared" si="63"/>
        <v>7.8690619754097219E-2</v>
      </c>
    </row>
    <row r="436" spans="92:97" x14ac:dyDescent="0.45">
      <c r="CN436" s="8">
        <v>216.5</v>
      </c>
      <c r="CO436" s="49">
        <v>0.05</v>
      </c>
      <c r="CP436" s="17">
        <v>-1.7979411870634996E-3</v>
      </c>
      <c r="CQ436" s="17">
        <v>4.3126328560665964E-3</v>
      </c>
      <c r="CR436" s="17">
        <v>2.6118080850896907E-2</v>
      </c>
      <c r="CS436" s="16">
        <f t="shared" si="63"/>
        <v>7.8632772519900002E-2</v>
      </c>
    </row>
    <row r="437" spans="92:97" x14ac:dyDescent="0.45">
      <c r="CN437" s="8">
        <v>217</v>
      </c>
      <c r="CO437" s="49">
        <v>0.05</v>
      </c>
      <c r="CP437" s="17">
        <v>-1.7937987190946377E-3</v>
      </c>
      <c r="CQ437" s="17">
        <v>4.3027033382081912E-3</v>
      </c>
      <c r="CR437" s="17">
        <v>2.6066202918181715E-2</v>
      </c>
      <c r="CS437" s="16">
        <f t="shared" si="63"/>
        <v>7.8575107537295269E-2</v>
      </c>
    </row>
    <row r="438" spans="92:97" x14ac:dyDescent="0.45">
      <c r="CN438" s="8">
        <v>217.5</v>
      </c>
      <c r="CO438" s="49">
        <v>0.05</v>
      </c>
      <c r="CP438" s="17">
        <v>-1.7896752899317153E-3</v>
      </c>
      <c r="CQ438" s="17">
        <v>4.2928192843433976E-3</v>
      </c>
      <c r="CR438" s="17">
        <v>2.6014480358261434E-2</v>
      </c>
      <c r="CS438" s="16">
        <f t="shared" si="63"/>
        <v>7.8517624352673121E-2</v>
      </c>
    </row>
    <row r="439" spans="92:97" x14ac:dyDescent="0.45">
      <c r="CN439" s="8">
        <v>218</v>
      </c>
      <c r="CO439" s="49">
        <v>0.05</v>
      </c>
      <c r="CP439" s="17">
        <v>-1.7855707687682626E-3</v>
      </c>
      <c r="CQ439" s="17">
        <v>4.282980386418913E-3</v>
      </c>
      <c r="CR439" s="17">
        <v>2.5962912891895864E-2</v>
      </c>
      <c r="CS439" s="16">
        <f t="shared" si="63"/>
        <v>7.8460322509546515E-2</v>
      </c>
    </row>
    <row r="440" spans="92:97" x14ac:dyDescent="0.45">
      <c r="CN440" s="8">
        <v>218.5</v>
      </c>
      <c r="CO440" s="49">
        <v>0.05</v>
      </c>
      <c r="CP440" s="17">
        <v>-1.7814850259897383E-3</v>
      </c>
      <c r="CQ440" s="17">
        <v>4.2731863390817418E-3</v>
      </c>
      <c r="CR440" s="17">
        <v>2.591150023554457E-2</v>
      </c>
      <c r="CS440" s="16">
        <f t="shared" si="63"/>
        <v>7.8403201548636572E-2</v>
      </c>
    </row>
    <row r="441" spans="92:97" x14ac:dyDescent="0.45">
      <c r="CN441" s="8">
        <v>219</v>
      </c>
      <c r="CO441" s="49">
        <v>0.05</v>
      </c>
      <c r="CP441" s="17">
        <v>-1.7774179331600708E-3</v>
      </c>
      <c r="CQ441" s="17">
        <v>4.2634368396513101E-3</v>
      </c>
      <c r="CR441" s="17">
        <v>2.586024210146522E-2</v>
      </c>
      <c r="CS441" s="16">
        <f t="shared" si="63"/>
        <v>7.8346261007956455E-2</v>
      </c>
    </row>
    <row r="442" spans="92:97" x14ac:dyDescent="0.45">
      <c r="CN442" s="8">
        <v>219.5</v>
      </c>
      <c r="CO442" s="49">
        <v>0.05</v>
      </c>
      <c r="CP442" s="17">
        <v>-1.7733693630083815E-3</v>
      </c>
      <c r="CQ442" s="17">
        <v>4.2537315880919165E-3</v>
      </c>
      <c r="CR442" s="17">
        <v>2.5809138197810395E-2</v>
      </c>
      <c r="CS442" s="16">
        <f t="shared" si="63"/>
        <v>7.8289500422893926E-2</v>
      </c>
    </row>
    <row r="443" spans="92:97" x14ac:dyDescent="0.45">
      <c r="CN443" s="8">
        <v>220</v>
      </c>
      <c r="CO443" s="49">
        <v>0.05</v>
      </c>
      <c r="CP443" s="17">
        <v>-1.7693391894158842E-3</v>
      </c>
      <c r="CQ443" s="17">
        <v>4.2440702869854649E-3</v>
      </c>
      <c r="CR443" s="17">
        <v>2.5758188228722886E-2</v>
      </c>
      <c r="CS443" s="16">
        <f t="shared" si="63"/>
        <v>7.8232919326292463E-2</v>
      </c>
    </row>
    <row r="444" spans="92:97" x14ac:dyDescent="0.45">
      <c r="CN444" s="8">
        <v>220.5</v>
      </c>
      <c r="CO444" s="49">
        <v>0.05</v>
      </c>
      <c r="CP444" s="17">
        <v>-1.7653272874029596E-3</v>
      </c>
      <c r="CQ444" s="17">
        <v>4.2344526415045193E-3</v>
      </c>
      <c r="CR444" s="17">
        <v>2.570739189442952E-2</v>
      </c>
      <c r="CS444" s="16">
        <f t="shared" si="63"/>
        <v>7.8176517248531086E-2</v>
      </c>
    </row>
    <row r="445" spans="92:97" x14ac:dyDescent="0.45">
      <c r="CN445" s="8">
        <v>221</v>
      </c>
      <c r="CO445" s="49">
        <v>0.05</v>
      </c>
      <c r="CP445" s="17">
        <v>-1.7613335331163992E-3</v>
      </c>
      <c r="CQ445" s="17">
        <v>4.2248783593856372E-3</v>
      </c>
      <c r="CR445" s="17">
        <v>2.5656748891333545E-2</v>
      </c>
      <c r="CS445" s="16">
        <f t="shared" si="63"/>
        <v>7.8120293717602776E-2</v>
      </c>
    </row>
    <row r="446" spans="92:97" x14ac:dyDescent="0.45">
      <c r="CN446" s="8">
        <v>221.5</v>
      </c>
      <c r="CO446" s="49">
        <v>0.05</v>
      </c>
      <c r="CP446" s="17">
        <v>-1.7573578038168215E-3</v>
      </c>
      <c r="CQ446" s="17">
        <v>4.2153471509030231E-3</v>
      </c>
      <c r="CR446" s="17">
        <v>2.5606258912105564E-2</v>
      </c>
      <c r="CS446" s="16">
        <f t="shared" si="63"/>
        <v>7.8064248259191768E-2</v>
      </c>
    </row>
    <row r="447" spans="92:97" x14ac:dyDescent="0.45">
      <c r="CN447" s="8">
        <v>222</v>
      </c>
      <c r="CO447" s="49">
        <v>0.05</v>
      </c>
      <c r="CP447" s="17">
        <v>-1.7533999778662525E-3</v>
      </c>
      <c r="CQ447" s="17">
        <v>4.2058587288424558E-3</v>
      </c>
      <c r="CR447" s="17">
        <v>2.5555921645773052E-2</v>
      </c>
      <c r="CS447" s="16">
        <f t="shared" si="63"/>
        <v>7.8008380396749261E-2</v>
      </c>
    </row>
    <row r="448" spans="92:97" x14ac:dyDescent="0.45">
      <c r="CN448" s="8">
        <v>222.5</v>
      </c>
      <c r="CO448" s="49">
        <v>0.05</v>
      </c>
      <c r="CP448" s="17">
        <v>-1.7494599347158708E-3</v>
      </c>
      <c r="CQ448" s="17">
        <v>4.1964128084755114E-3</v>
      </c>
      <c r="CR448" s="17">
        <v>2.5505736777808485E-2</v>
      </c>
      <c r="CS448" s="16">
        <f t="shared" si="63"/>
        <v>7.7952689651568124E-2</v>
      </c>
    </row>
    <row r="449" spans="92:97" x14ac:dyDescent="0.45">
      <c r="CN449" s="8">
        <v>223</v>
      </c>
      <c r="CO449" s="49">
        <v>0.05</v>
      </c>
      <c r="CP449" s="17">
        <v>-1.7455375548939144E-3</v>
      </c>
      <c r="CQ449" s="17">
        <v>4.1870091075340799E-3</v>
      </c>
      <c r="CR449" s="17">
        <v>2.5455703990216086E-2</v>
      </c>
      <c r="CS449" s="16">
        <f t="shared" si="63"/>
        <v>7.7897175542856245E-2</v>
      </c>
    </row>
    <row r="450" spans="92:97" x14ac:dyDescent="0.45">
      <c r="CN450" s="8">
        <v>223.5</v>
      </c>
      <c r="CO450" s="49">
        <v>0.05</v>
      </c>
      <c r="CP450" s="17">
        <v>-1.7416327199937464E-3</v>
      </c>
      <c r="CQ450" s="17">
        <v>4.1776473461851591E-3</v>
      </c>
      <c r="CR450" s="17">
        <v>2.5405822961617221E-2</v>
      </c>
      <c r="CS450" s="16">
        <f t="shared" si="63"/>
        <v>7.7841837587808632E-2</v>
      </c>
    </row>
    <row r="451" spans="92:97" x14ac:dyDescent="0.45">
      <c r="CN451" s="8">
        <v>224</v>
      </c>
      <c r="CO451" s="49">
        <v>0.05</v>
      </c>
      <c r="CP451" s="17">
        <v>-1.737745312662078E-3</v>
      </c>
      <c r="CQ451" s="17">
        <v>4.1683272470059264E-3</v>
      </c>
      <c r="CR451" s="17">
        <v>2.5356093367334444E-2</v>
      </c>
      <c r="CS451" s="16">
        <f t="shared" si="63"/>
        <v>7.7786675301678293E-2</v>
      </c>
    </row>
    <row r="452" spans="92:97" x14ac:dyDescent="0.45">
      <c r="CN452" s="8">
        <v>224.5</v>
      </c>
      <c r="CO452" s="49">
        <v>0.05</v>
      </c>
      <c r="CP452" s="17">
        <v>-1.7338752165873446E-3</v>
      </c>
      <c r="CQ452" s="17">
        <v>4.1590485349590998E-3</v>
      </c>
      <c r="CR452" s="17">
        <v>2.5306514879474218E-2</v>
      </c>
      <c r="CS452" s="16">
        <f t="shared" si="63"/>
        <v>7.7731688197845983E-2</v>
      </c>
    </row>
    <row r="453" spans="92:97" x14ac:dyDescent="0.45">
      <c r="CN453" s="8">
        <v>225</v>
      </c>
      <c r="CO453" s="49">
        <v>0.05</v>
      </c>
      <c r="CP453" s="17">
        <v>-1.7300223164882348E-3</v>
      </c>
      <c r="CQ453" s="17">
        <v>4.1498109373685581E-3</v>
      </c>
      <c r="CR453" s="17">
        <v>2.5257087167008366E-2</v>
      </c>
      <c r="CS453" s="16">
        <f t="shared" si="63"/>
        <v>7.7676875787888691E-2</v>
      </c>
    </row>
    <row r="454" spans="92:97" x14ac:dyDescent="0.45">
      <c r="CN454" s="8">
        <v>225.5</v>
      </c>
      <c r="CO454" s="49">
        <v>0.05</v>
      </c>
      <c r="CP454" s="17">
        <v>-1.7261864981023692E-3</v>
      </c>
      <c r="CQ454" s="17">
        <v>4.140614183895254E-3</v>
      </c>
      <c r="CR454" s="17">
        <v>2.5207809895854208E-2</v>
      </c>
      <c r="CS454" s="16">
        <f t="shared" ref="CS454:CS503" si="64">SUM(CO454:CR454)</f>
        <v>7.7622237581647102E-2</v>
      </c>
    </row>
    <row r="455" spans="92:97" x14ac:dyDescent="0.45">
      <c r="CN455" s="8">
        <v>226</v>
      </c>
      <c r="CO455" s="49">
        <v>0.05</v>
      </c>
      <c r="CP455" s="17">
        <v>-1.7223676481751258E-3</v>
      </c>
      <c r="CQ455" s="17">
        <v>4.1314580065133673E-3</v>
      </c>
      <c r="CR455" s="17">
        <v>2.515868272895341E-2</v>
      </c>
      <c r="CS455" s="16">
        <f t="shared" si="64"/>
        <v>7.7567773087291653E-2</v>
      </c>
    </row>
    <row r="456" spans="92:97" x14ac:dyDescent="0.45">
      <c r="CN456" s="8">
        <v>226.5</v>
      </c>
      <c r="CO456" s="49">
        <v>0.05</v>
      </c>
      <c r="CP456" s="17">
        <v>-1.7185656544486136E-3</v>
      </c>
      <c r="CQ456" s="17">
        <v>4.1223421394867565E-3</v>
      </c>
      <c r="CR456" s="17">
        <v>2.5109705326349662E-2</v>
      </c>
      <c r="CS456" s="16">
        <f t="shared" si="64"/>
        <v>7.7513481811387813E-2</v>
      </c>
    </row>
    <row r="457" spans="92:97" x14ac:dyDescent="0.45">
      <c r="CN457" s="8">
        <v>227</v>
      </c>
      <c r="CO457" s="49">
        <v>0.05</v>
      </c>
      <c r="CP457" s="17">
        <v>-1.7147804056507835E-3</v>
      </c>
      <c r="CQ457" s="17">
        <v>4.1132663193456497E-3</v>
      </c>
      <c r="CR457" s="17">
        <v>2.5060877345265062E-2</v>
      </c>
      <c r="CS457" s="16">
        <f t="shared" si="64"/>
        <v>7.745936325895994E-2</v>
      </c>
    </row>
    <row r="458" spans="92:97" x14ac:dyDescent="0.45">
      <c r="CN458" s="8">
        <v>227.5</v>
      </c>
      <c r="CO458" s="49">
        <v>0.05</v>
      </c>
      <c r="CP458" s="17">
        <v>-1.7110117914846867E-3</v>
      </c>
      <c r="CQ458" s="17">
        <v>4.1042302848636027E-3</v>
      </c>
      <c r="CR458" s="17">
        <v>2.5012198440175267E-2</v>
      </c>
      <c r="CS458" s="16">
        <f t="shared" si="64"/>
        <v>7.7405416933554183E-2</v>
      </c>
    </row>
    <row r="459" spans="92:97" x14ac:dyDescent="0.45">
      <c r="CN459" s="8">
        <v>228</v>
      </c>
      <c r="CO459" s="49">
        <v>0.05</v>
      </c>
      <c r="CP459" s="17">
        <v>-1.707259702617868E-3</v>
      </c>
      <c r="CQ459" s="17">
        <v>4.0952337770347189E-3</v>
      </c>
      <c r="CR459" s="17">
        <v>2.4963668262883539E-2</v>
      </c>
      <c r="CS459" s="16">
        <f t="shared" si="64"/>
        <v>7.7351642337300394E-2</v>
      </c>
    </row>
    <row r="460" spans="92:97" x14ac:dyDescent="0.45">
      <c r="CN460" s="8">
        <v>228.5</v>
      </c>
      <c r="CO460" s="49">
        <v>0.05</v>
      </c>
      <c r="CP460" s="17">
        <v>-1.7035240306718968E-3</v>
      </c>
      <c r="CQ460" s="17">
        <v>4.0862765390511178E-3</v>
      </c>
      <c r="CR460" s="17">
        <v>2.4915286462593507E-2</v>
      </c>
      <c r="CS460" s="16">
        <f t="shared" si="64"/>
        <v>7.7298038970972732E-2</v>
      </c>
    </row>
    <row r="461" spans="92:97" x14ac:dyDescent="0.45">
      <c r="CN461" s="8">
        <v>229</v>
      </c>
      <c r="CO461" s="49">
        <v>0.05</v>
      </c>
      <c r="CP461" s="17">
        <v>-1.6998046682120348E-3</v>
      </c>
      <c r="CQ461" s="17">
        <v>4.0773583162806611E-3</v>
      </c>
      <c r="CR461" s="17">
        <v>2.4867052685980856E-2</v>
      </c>
      <c r="CS461" s="16">
        <f t="shared" si="64"/>
        <v>7.724460633404949E-2</v>
      </c>
    </row>
    <row r="462" spans="92:97" x14ac:dyDescent="0.45">
      <c r="CN462" s="8">
        <v>229.5</v>
      </c>
      <c r="CO462" s="49">
        <v>0.05</v>
      </c>
      <c r="CP462" s="17">
        <v>-1.6961015087370325E-3</v>
      </c>
      <c r="CQ462" s="17">
        <v>4.0684788562449191E-3</v>
      </c>
      <c r="CR462" s="17">
        <v>2.4818966577263773E-2</v>
      </c>
      <c r="CS462" s="16">
        <f t="shared" si="64"/>
        <v>7.7191343924771672E-2</v>
      </c>
    </row>
    <row r="463" spans="92:97" x14ac:dyDescent="0.45">
      <c r="CN463" s="8">
        <v>230</v>
      </c>
      <c r="CO463" s="49">
        <v>0.05</v>
      </c>
      <c r="CP463" s="17">
        <v>-1.6924144466690611E-3</v>
      </c>
      <c r="CQ463" s="17">
        <v>4.0596379085973931E-3</v>
      </c>
      <c r="CR463" s="17">
        <v>2.4771027778272361E-2</v>
      </c>
      <c r="CS463" s="16">
        <f t="shared" si="64"/>
        <v>7.7138251240200698E-2</v>
      </c>
    </row>
    <row r="464" spans="92:97" x14ac:dyDescent="0.45">
      <c r="CN464" s="8">
        <v>230.5</v>
      </c>
      <c r="CO464" s="49">
        <v>0.05</v>
      </c>
      <c r="CP464" s="17">
        <v>-1.6887433773437699E-3</v>
      </c>
      <c r="CQ464" s="17">
        <v>4.0508352251019744E-3</v>
      </c>
      <c r="CR464" s="17">
        <v>2.4723235928516874E-2</v>
      </c>
      <c r="CS464" s="16">
        <f t="shared" si="64"/>
        <v>7.7085327776275081E-2</v>
      </c>
    </row>
    <row r="465" spans="92:97" x14ac:dyDescent="0.45">
      <c r="CN465" s="8">
        <v>231</v>
      </c>
      <c r="CO465" s="49">
        <v>0.05</v>
      </c>
      <c r="CP465" s="17">
        <v>-1.6850881970004732E-3</v>
      </c>
      <c r="CQ465" s="17">
        <v>4.0420705596116487E-3</v>
      </c>
      <c r="CR465" s="17">
        <v>2.4675590665254873E-2</v>
      </c>
      <c r="CS465" s="16">
        <f t="shared" si="64"/>
        <v>7.703257302786605E-2</v>
      </c>
    </row>
    <row r="466" spans="92:97" x14ac:dyDescent="0.45">
      <c r="CN466" s="8">
        <v>231.5</v>
      </c>
      <c r="CO466" s="49">
        <v>0.05</v>
      </c>
      <c r="CP466" s="17">
        <v>-1.6814488027724604E-3</v>
      </c>
      <c r="CQ466" s="17">
        <v>4.0333436680474299E-3</v>
      </c>
      <c r="CR466" s="17">
        <v>2.462809162355729E-2</v>
      </c>
      <c r="CS466" s="16">
        <f t="shared" si="64"/>
        <v>7.6979986488832267E-2</v>
      </c>
    </row>
    <row r="467" spans="92:97" x14ac:dyDescent="0.45">
      <c r="CN467" s="8">
        <v>232</v>
      </c>
      <c r="CO467" s="49">
        <v>0.05</v>
      </c>
      <c r="CP467" s="17">
        <v>-1.6778250926774308E-3</v>
      </c>
      <c r="CQ467" s="17">
        <v>4.024654308377543E-3</v>
      </c>
      <c r="CR467" s="17">
        <v>2.4580738436373446E-2</v>
      </c>
      <c r="CS467" s="16">
        <f t="shared" si="64"/>
        <v>7.6927567652073564E-2</v>
      </c>
    </row>
    <row r="468" spans="92:97" x14ac:dyDescent="0.45">
      <c r="CN468" s="8">
        <v>232.5</v>
      </c>
      <c r="CO468" s="49">
        <v>0.05</v>
      </c>
      <c r="CP468" s="17">
        <v>-1.67421696560805E-3</v>
      </c>
      <c r="CQ468" s="17">
        <v>4.0160022405968283E-3</v>
      </c>
      <c r="CR468" s="17">
        <v>2.4533530734594969E-2</v>
      </c>
      <c r="CS468" s="16">
        <f t="shared" si="64"/>
        <v>7.687531600958375E-2</v>
      </c>
    </row>
    <row r="469" spans="92:97" x14ac:dyDescent="0.45">
      <c r="CN469" s="8">
        <v>233</v>
      </c>
      <c r="CO469" s="49">
        <v>0.05</v>
      </c>
      <c r="CP469" s="17">
        <v>-1.6706243213226238E-3</v>
      </c>
      <c r="CQ469" s="17">
        <v>4.0073872267063788E-3</v>
      </c>
      <c r="CR469" s="17">
        <v>2.4486468147118735E-2</v>
      </c>
      <c r="CS469" s="16">
        <f t="shared" si="64"/>
        <v>7.6823231052502494E-2</v>
      </c>
    </row>
    <row r="470" spans="92:97" x14ac:dyDescent="0.45">
      <c r="CN470" s="8">
        <v>233.5</v>
      </c>
      <c r="CO470" s="49">
        <v>0.05</v>
      </c>
      <c r="CP470" s="17">
        <v>-1.6670470604358944E-3</v>
      </c>
      <c r="CQ470" s="17">
        <v>3.9988090306934078E-3</v>
      </c>
      <c r="CR470" s="17">
        <v>2.4439550300908722E-2</v>
      </c>
      <c r="CS470" s="16">
        <f t="shared" si="64"/>
        <v>7.6771312271166237E-2</v>
      </c>
    </row>
    <row r="471" spans="92:97" x14ac:dyDescent="0.45">
      <c r="CN471" s="8">
        <v>234</v>
      </c>
      <c r="CO471" s="49">
        <v>0.05</v>
      </c>
      <c r="CP471" s="17">
        <v>-1.6634850844099484E-3</v>
      </c>
      <c r="CQ471" s="17">
        <v>3.990267418511338E-3</v>
      </c>
      <c r="CR471" s="17">
        <v>2.4392776821056925E-2</v>
      </c>
      <c r="CS471" s="16">
        <f t="shared" si="64"/>
        <v>7.6719559155158309E-2</v>
      </c>
    </row>
    <row r="472" spans="92:97" x14ac:dyDescent="0.45">
      <c r="CN472" s="8">
        <v>234.5</v>
      </c>
      <c r="CO472" s="49">
        <v>0.05</v>
      </c>
      <c r="CP472" s="17">
        <v>-1.6599382955452427E-3</v>
      </c>
      <c r="CQ472" s="17">
        <v>3.9817621580601151E-3</v>
      </c>
      <c r="CR472" s="17">
        <v>2.4346147330843174E-2</v>
      </c>
      <c r="CS472" s="16">
        <f t="shared" si="64"/>
        <v>7.6667971193358053E-2</v>
      </c>
    </row>
    <row r="473" spans="92:97" x14ac:dyDescent="0.45">
      <c r="CN473" s="8">
        <v>235</v>
      </c>
      <c r="CO473" s="49">
        <v>0.05</v>
      </c>
      <c r="CP473" s="17">
        <v>-1.6564065969717414E-3</v>
      </c>
      <c r="CQ473" s="17">
        <v>3.9732930191667395E-3</v>
      </c>
      <c r="CR473" s="17">
        <v>2.4299661451794106E-2</v>
      </c>
      <c r="CS473" s="16">
        <f t="shared" si="64"/>
        <v>7.661654787398911E-2</v>
      </c>
    </row>
    <row r="474" spans="92:97" x14ac:dyDescent="0.45">
      <c r="CN474" s="8">
        <v>235.5</v>
      </c>
      <c r="CO474" s="49">
        <v>0.05</v>
      </c>
      <c r="CP474" s="17">
        <v>-1.6528898926401652E-3</v>
      </c>
      <c r="CQ474" s="17">
        <v>3.9648597735660205E-3</v>
      </c>
      <c r="CR474" s="17">
        <v>2.4253318803741035E-2</v>
      </c>
      <c r="CS474" s="16">
        <f t="shared" si="64"/>
        <v>7.6565288684666888E-2</v>
      </c>
    </row>
    <row r="475" spans="92:97" x14ac:dyDescent="0.45">
      <c r="CN475" s="8">
        <v>236</v>
      </c>
      <c r="CO475" s="49">
        <v>0.05</v>
      </c>
      <c r="CP475" s="17">
        <v>-1.64938808731335E-3</v>
      </c>
      <c r="CQ475" s="17">
        <v>3.9564621948815319E-3</v>
      </c>
      <c r="CR475" s="17">
        <v>2.4207119004876949E-2</v>
      </c>
      <c r="CS475" s="16">
        <f t="shared" si="64"/>
        <v>7.6514193112445131E-2</v>
      </c>
    </row>
    <row r="476" spans="92:97" x14ac:dyDescent="0.45">
      <c r="CN476" s="8">
        <v>236.5</v>
      </c>
      <c r="CO476" s="49">
        <v>0.05</v>
      </c>
      <c r="CP476" s="17">
        <v>-1.6459010865577139E-3</v>
      </c>
      <c r="CQ476" s="17">
        <v>3.9481000586068004E-3</v>
      </c>
      <c r="CR476" s="17">
        <v>2.4161061671812568E-2</v>
      </c>
      <c r="CS476" s="16">
        <f t="shared" si="64"/>
        <v>7.6463260643861664E-2</v>
      </c>
    </row>
    <row r="477" spans="92:97" x14ac:dyDescent="0.45">
      <c r="CN477" s="8">
        <v>237</v>
      </c>
      <c r="CO477" s="49">
        <v>0.05</v>
      </c>
      <c r="CP477" s="17">
        <v>-1.6424287967348296E-3</v>
      </c>
      <c r="CQ477" s="17">
        <v>3.9397731420866833E-3</v>
      </c>
      <c r="CR477" s="17">
        <v>2.4115146419631424E-2</v>
      </c>
      <c r="CS477" s="16">
        <f t="shared" si="64"/>
        <v>7.6412490764983271E-2</v>
      </c>
    </row>
    <row r="478" spans="92:97" x14ac:dyDescent="0.45">
      <c r="CN478" s="8">
        <v>237.5</v>
      </c>
      <c r="CO478" s="49">
        <v>0.05</v>
      </c>
      <c r="CP478" s="17">
        <v>-1.6389711249931048E-3</v>
      </c>
      <c r="CQ478" s="17">
        <v>3.9314812244989729E-3</v>
      </c>
      <c r="CR478" s="17">
        <v>2.406937286194406E-2</v>
      </c>
      <c r="CS478" s="16">
        <f t="shared" si="64"/>
        <v>7.6361882961449939E-2</v>
      </c>
    </row>
    <row r="479" spans="92:97" x14ac:dyDescent="0.45">
      <c r="CN479" s="8">
        <v>238</v>
      </c>
      <c r="CO479" s="49">
        <v>0.05</v>
      </c>
      <c r="CP479" s="17">
        <v>-1.6355279792595622E-3</v>
      </c>
      <c r="CQ479" s="17">
        <v>3.923224086836187E-3</v>
      </c>
      <c r="CR479" s="17">
        <v>2.4023740610941344E-2</v>
      </c>
      <c r="CS479" s="16">
        <f t="shared" si="64"/>
        <v>7.6311436718517978E-2</v>
      </c>
    </row>
    <row r="480" spans="92:97" x14ac:dyDescent="0.45">
      <c r="CN480" s="8">
        <v>238.5</v>
      </c>
      <c r="CO480" s="49">
        <v>0.05</v>
      </c>
      <c r="CP480" s="17">
        <v>-1.6320992682317249E-3</v>
      </c>
      <c r="CQ480" s="17">
        <v>3.9150015118875779E-3</v>
      </c>
      <c r="CR480" s="17">
        <v>2.3978249277446864E-2</v>
      </c>
      <c r="CS480" s="16">
        <f t="shared" si="64"/>
        <v>7.6261151521102716E-2</v>
      </c>
    </row>
    <row r="481" spans="92:97" x14ac:dyDescent="0.45">
      <c r="CN481" s="8">
        <v>239</v>
      </c>
      <c r="CO481" s="49">
        <v>0.05</v>
      </c>
      <c r="CP481" s="17">
        <v>-1.6286849013696007E-3</v>
      </c>
      <c r="CQ481" s="17">
        <v>3.9068132842213325E-3</v>
      </c>
      <c r="CR481" s="17">
        <v>2.3932898470968453E-2</v>
      </c>
      <c r="CS481" s="16">
        <f t="shared" si="64"/>
        <v>7.6211026853820182E-2</v>
      </c>
    </row>
    <row r="482" spans="92:97" x14ac:dyDescent="0.45">
      <c r="CN482" s="8">
        <v>239.5</v>
      </c>
      <c r="CO482" s="49">
        <v>0.05</v>
      </c>
      <c r="CP482" s="17">
        <v>-1.6252847888877662E-3</v>
      </c>
      <c r="CQ482" s="17">
        <v>3.8986591901669773E-3</v>
      </c>
      <c r="CR482" s="17">
        <v>2.3887687799748876E-2</v>
      </c>
      <c r="CS482" s="16">
        <f t="shared" si="64"/>
        <v>7.6161062201028085E-2</v>
      </c>
    </row>
    <row r="483" spans="92:97" x14ac:dyDescent="0.45">
      <c r="CN483" s="8">
        <v>240</v>
      </c>
      <c r="CO483" s="49">
        <v>0.05</v>
      </c>
      <c r="CP483" s="17">
        <v>-1.6218988417475478E-3</v>
      </c>
      <c r="CQ483" s="17">
        <v>3.8905390177979755E-3</v>
      </c>
      <c r="CR483" s="17">
        <v>2.3842616870815632E-2</v>
      </c>
      <c r="CS483" s="16">
        <f t="shared" si="64"/>
        <v>7.6111257046866054E-2</v>
      </c>
    </row>
    <row r="484" spans="92:97" x14ac:dyDescent="0.45">
      <c r="CN484" s="8">
        <v>240.5</v>
      </c>
      <c r="CO484" s="49">
        <v>0.05</v>
      </c>
      <c r="CP484" s="17">
        <v>-1.6185269716493002E-3</v>
      </c>
      <c r="CQ484" s="17">
        <v>3.8824525569145112E-3</v>
      </c>
      <c r="CR484" s="17">
        <v>2.3797685290029947E-2</v>
      </c>
      <c r="CS484" s="16">
        <f t="shared" si="64"/>
        <v>7.6061610875295158E-2</v>
      </c>
    </row>
    <row r="485" spans="92:97" x14ac:dyDescent="0.45">
      <c r="CN485" s="8">
        <v>241</v>
      </c>
      <c r="CO485" s="49">
        <v>0.05</v>
      </c>
      <c r="CP485" s="17">
        <v>-1.6151690910247798E-3</v>
      </c>
      <c r="CQ485" s="17">
        <v>3.874399599026484E-3</v>
      </c>
      <c r="CR485" s="17">
        <v>2.3752892662134911E-2</v>
      </c>
      <c r="CS485" s="16">
        <f t="shared" si="64"/>
        <v>7.6012123170136614E-2</v>
      </c>
    </row>
    <row r="486" spans="92:97" x14ac:dyDescent="0.45">
      <c r="CN486" s="8">
        <v>241.5</v>
      </c>
      <c r="CO486" s="49">
        <v>0.05</v>
      </c>
      <c r="CP486" s="17">
        <v>-1.6118251130296103E-3</v>
      </c>
      <c r="CQ486" s="17">
        <v>3.8663799373366676E-3</v>
      </c>
      <c r="CR486" s="17">
        <v>2.370823859080284E-2</v>
      </c>
      <c r="CS486" s="16">
        <f t="shared" si="64"/>
        <v>7.5962793415109905E-2</v>
      </c>
    </row>
    <row r="487" spans="92:97" x14ac:dyDescent="0.45">
      <c r="CN487" s="8">
        <v>242</v>
      </c>
      <c r="CO487" s="49">
        <v>0.05</v>
      </c>
      <c r="CP487" s="17">
        <v>-1.6084949515358423E-3</v>
      </c>
      <c r="CQ487" s="17">
        <v>3.8583933667240798E-3</v>
      </c>
      <c r="CR487" s="17">
        <v>2.3663722678681789E-2</v>
      </c>
      <c r="CS487" s="16">
        <f t="shared" si="64"/>
        <v>7.5913621093870023E-2</v>
      </c>
    </row>
    <row r="488" spans="92:97" x14ac:dyDescent="0.45">
      <c r="CN488" s="8">
        <v>242.5</v>
      </c>
      <c r="CO488" s="49">
        <v>0.05</v>
      </c>
      <c r="CP488" s="17">
        <v>-1.605178521124604E-3</v>
      </c>
      <c r="CQ488" s="17">
        <v>3.8504396837275206E-3</v>
      </c>
      <c r="CR488" s="17">
        <v>2.3619344527441306E-2</v>
      </c>
      <c r="CS488" s="16">
        <f t="shared" si="64"/>
        <v>7.5864605690044232E-2</v>
      </c>
    </row>
    <row r="489" spans="92:97" x14ac:dyDescent="0.45">
      <c r="CN489" s="8">
        <v>243</v>
      </c>
      <c r="CO489" s="49">
        <v>0.05</v>
      </c>
      <c r="CP489" s="17">
        <v>-1.6018757370788396E-3</v>
      </c>
      <c r="CQ489" s="17">
        <v>3.8425186865292983E-3</v>
      </c>
      <c r="CR489" s="17">
        <v>2.3575103737817408E-2</v>
      </c>
      <c r="CS489" s="16">
        <f t="shared" si="64"/>
        <v>7.5815746687267871E-2</v>
      </c>
    </row>
    <row r="490" spans="92:97" x14ac:dyDescent="0.45">
      <c r="CN490" s="8">
        <v>243.5</v>
      </c>
      <c r="CO490" s="49">
        <v>0.05</v>
      </c>
      <c r="CP490" s="17">
        <v>-1.5985865153761386E-3</v>
      </c>
      <c r="CQ490" s="17">
        <v>3.8346301749391364E-3</v>
      </c>
      <c r="CR490" s="17">
        <v>2.353099990965676E-2</v>
      </c>
      <c r="CS490" s="16">
        <f t="shared" si="64"/>
        <v>7.5767043569219761E-2</v>
      </c>
    </row>
    <row r="491" spans="92:97" x14ac:dyDescent="0.45">
      <c r="CN491" s="8">
        <v>244</v>
      </c>
      <c r="CO491" s="49">
        <v>0.05</v>
      </c>
      <c r="CP491" s="17">
        <v>-1.595310772681651E-3</v>
      </c>
      <c r="CQ491" s="17">
        <v>3.8267739503782608E-3</v>
      </c>
      <c r="CR491" s="17">
        <v>2.3487032641960122E-2</v>
      </c>
      <c r="CS491" s="16">
        <f t="shared" si="64"/>
        <v>7.5718495819656728E-2</v>
      </c>
    </row>
    <row r="492" spans="92:97" x14ac:dyDescent="0.45">
      <c r="CN492" s="8">
        <v>244.5</v>
      </c>
      <c r="CO492" s="49">
        <v>0.05</v>
      </c>
      <c r="CP492" s="17">
        <v>-1.5920484263410885E-3</v>
      </c>
      <c r="CQ492" s="17">
        <v>3.8189498158636604E-3</v>
      </c>
      <c r="CR492" s="17">
        <v>2.3443201532925024E-2</v>
      </c>
      <c r="CS492" s="16">
        <f t="shared" si="64"/>
        <v>7.5670102922447607E-2</v>
      </c>
    </row>
    <row r="493" spans="92:97" x14ac:dyDescent="0.45">
      <c r="CN493" s="8">
        <v>245</v>
      </c>
      <c r="CO493" s="49">
        <v>0.05</v>
      </c>
      <c r="CP493" s="17">
        <v>-1.5887993943738113E-3</v>
      </c>
      <c r="CQ493" s="17">
        <v>3.8111575759925244E-3</v>
      </c>
      <c r="CR493" s="17">
        <v>2.3399506179987758E-2</v>
      </c>
      <c r="CS493" s="16">
        <f t="shared" si="64"/>
        <v>7.5621864361606478E-2</v>
      </c>
    </row>
    <row r="494" spans="92:97" x14ac:dyDescent="0.45">
      <c r="CN494" s="8">
        <v>245.5</v>
      </c>
      <c r="CO494" s="49">
        <v>0.05</v>
      </c>
      <c r="CP494" s="17">
        <v>-1.5855635954659982E-3</v>
      </c>
      <c r="CQ494" s="17">
        <v>3.8033970369268453E-3</v>
      </c>
      <c r="CR494" s="17">
        <v>2.3355946179864553E-2</v>
      </c>
      <c r="CS494" s="16">
        <f t="shared" si="64"/>
        <v>7.5573779621325402E-2</v>
      </c>
    </row>
    <row r="495" spans="92:97" x14ac:dyDescent="0.45">
      <c r="CN495" s="8">
        <v>246</v>
      </c>
      <c r="CO495" s="49">
        <v>0.05</v>
      </c>
      <c r="CP495" s="17">
        <v>-1.5823409489638981E-3</v>
      </c>
      <c r="CQ495" s="17">
        <v>3.795668006378206E-3</v>
      </c>
      <c r="CR495" s="17">
        <v>2.3312521128592143E-2</v>
      </c>
      <c r="CS495" s="16">
        <f t="shared" si="64"/>
        <v>7.5525848186006453E-2</v>
      </c>
    </row>
    <row r="496" spans="92:97" x14ac:dyDescent="0.45">
      <c r="CN496" s="8">
        <v>246.5</v>
      </c>
      <c r="CO496" s="49">
        <v>0.05</v>
      </c>
      <c r="CP496" s="17">
        <v>-1.5791313748671648E-3</v>
      </c>
      <c r="CQ496" s="17">
        <v>3.7879702935927164E-3</v>
      </c>
      <c r="CR496" s="17">
        <v>2.3269230621567539E-2</v>
      </c>
      <c r="CS496" s="16">
        <f t="shared" si="64"/>
        <v>7.5478069540293097E-2</v>
      </c>
    </row>
    <row r="497" spans="92:97" x14ac:dyDescent="0.45">
      <c r="CN497" s="8">
        <v>247</v>
      </c>
      <c r="CO497" s="49">
        <v>0.05</v>
      </c>
      <c r="CP497" s="17">
        <v>-1.57593479382227E-3</v>
      </c>
      <c r="CQ497" s="17">
        <v>3.7803037093361381E-3</v>
      </c>
      <c r="CR497" s="17">
        <v>2.3226074253587154E-2</v>
      </c>
      <c r="CS497" s="16">
        <f t="shared" si="64"/>
        <v>7.5430443169101025E-2</v>
      </c>
    </row>
    <row r="498" spans="92:97" x14ac:dyDescent="0.45">
      <c r="CN498" s="8">
        <v>247.5</v>
      </c>
      <c r="CO498" s="49">
        <v>0.05</v>
      </c>
      <c r="CP498" s="17">
        <v>-1.5727511271159977E-3</v>
      </c>
      <c r="CQ498" s="17">
        <v>3.7726680658791509E-3</v>
      </c>
      <c r="CR498" s="17">
        <v>2.3183051618885231E-2</v>
      </c>
      <c r="CS498" s="16">
        <f t="shared" si="64"/>
        <v>7.5382968557648394E-2</v>
      </c>
    </row>
    <row r="499" spans="92:97" x14ac:dyDescent="0.45">
      <c r="CN499" s="8">
        <v>248</v>
      </c>
      <c r="CO499" s="49">
        <v>0.05</v>
      </c>
      <c r="CP499" s="17">
        <v>-1.5695802966690132E-3</v>
      </c>
      <c r="CQ499" s="17">
        <v>3.7650631769828016E-3</v>
      </c>
      <c r="CR499" s="17">
        <v>2.3140162311171608E-2</v>
      </c>
      <c r="CS499" s="16">
        <f t="shared" si="64"/>
        <v>7.5335645191485404E-2</v>
      </c>
    </row>
    <row r="500" spans="92:97" x14ac:dyDescent="0.45">
      <c r="CN500" s="8">
        <v>248.5</v>
      </c>
      <c r="CO500" s="49">
        <v>0.05</v>
      </c>
      <c r="CP500" s="17">
        <v>-1.5664222250295135E-3</v>
      </c>
      <c r="CQ500" s="17">
        <v>3.7574888578840986E-3</v>
      </c>
      <c r="CR500" s="17">
        <v>2.3097405923668792E-2</v>
      </c>
      <c r="CS500" s="16">
        <f t="shared" si="64"/>
        <v>7.5288472556523378E-2</v>
      </c>
    </row>
    <row r="501" spans="92:97" x14ac:dyDescent="0.45">
      <c r="CN501" s="8">
        <v>249</v>
      </c>
      <c r="CO501" s="49">
        <v>0.05</v>
      </c>
      <c r="CP501" s="17">
        <v>-1.5632768353669474E-3</v>
      </c>
      <c r="CQ501" s="17">
        <v>3.7499449252817738E-3</v>
      </c>
      <c r="CR501" s="17">
        <v>2.30547820491484E-2</v>
      </c>
      <c r="CS501" s="16">
        <f t="shared" si="64"/>
        <v>7.5241450139063235E-2</v>
      </c>
    </row>
    <row r="502" spans="92:97" x14ac:dyDescent="0.45">
      <c r="CN502" s="8">
        <v>249.5</v>
      </c>
      <c r="CO502" s="49">
        <v>0.05</v>
      </c>
      <c r="CP502" s="17">
        <v>-1.5601440514658184E-3</v>
      </c>
      <c r="CQ502" s="17">
        <v>3.7424311973221968E-3</v>
      </c>
      <c r="CR502" s="17">
        <v>2.3012290279966961E-2</v>
      </c>
      <c r="CS502" s="16">
        <f t="shared" si="64"/>
        <v>7.5194577425823347E-2</v>
      </c>
    </row>
    <row r="503" spans="92:97" x14ac:dyDescent="0.45">
      <c r="CN503" s="8">
        <v>250</v>
      </c>
      <c r="CO503" s="49">
        <v>0.05</v>
      </c>
      <c r="CP503" s="17">
        <v>-1.5570237977195541E-3</v>
      </c>
      <c r="CQ503" s="17">
        <v>3.7349474935854513E-3</v>
      </c>
      <c r="CR503" s="17">
        <v>2.2969930208101039E-2</v>
      </c>
      <c r="CS503" s="16">
        <f t="shared" si="64"/>
        <v>7.5147853903966944E-2</v>
      </c>
    </row>
  </sheetData>
  <mergeCells count="8">
    <mergeCell ref="J251:K251"/>
    <mergeCell ref="J250:K250"/>
    <mergeCell ref="E1:F1"/>
    <mergeCell ref="A1:B1"/>
    <mergeCell ref="C1:D1"/>
    <mergeCell ref="K1:CK1"/>
    <mergeCell ref="CN1:CS1"/>
    <mergeCell ref="J249:K249"/>
  </mergeCells>
  <conditionalFormatting sqref="E1">
    <cfRule type="containsText" dxfId="4" priority="1" operator="containsText" text="YAY">
      <formula>NOT(ISERROR(SEARCH("YAY",E1)))</formula>
    </cfRule>
  </conditionalFormatting>
  <conditionalFormatting sqref="L3:CL226 CW67:DR77 DT67:FI77 DS68:DS78">
    <cfRule type="cellIs" dxfId="3" priority="4" operator="greaterThan">
      <formula>100</formula>
    </cfRule>
    <cfRule type="cellIs" dxfId="2" priority="5" operator="greaterThan">
      <formula>0</formula>
    </cfRule>
  </conditionalFormatting>
  <conditionalFormatting sqref="CL227:CL231 L227:CK237">
    <cfRule type="cellIs" dxfId="1" priority="2" operator="greaterThan">
      <formula>100</formula>
    </cfRule>
    <cfRule type="cellIs" dxfId="0" priority="3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EF0FA-D97E-433C-9874-4F6BAEC8FEB5}">
  <dimension ref="A1:AF38"/>
  <sheetViews>
    <sheetView zoomScale="130" zoomScaleNormal="130" workbookViewId="0">
      <selection activeCell="G2" sqref="G2"/>
    </sheetView>
  </sheetViews>
  <sheetFormatPr defaultRowHeight="12.75" x14ac:dyDescent="0.35"/>
  <cols>
    <col min="1" max="1" width="4.59765625" bestFit="1" customWidth="1"/>
    <col min="2" max="2" width="6.73046875" customWidth="1"/>
    <col min="3" max="5" width="9" customWidth="1"/>
    <col min="8" max="11" width="0" hidden="1" customWidth="1"/>
    <col min="13" max="14" width="0" hidden="1" customWidth="1"/>
    <col min="16" max="17" width="0" hidden="1" customWidth="1"/>
    <col min="18" max="19" width="9.1328125" style="7"/>
    <col min="20" max="24" width="0" hidden="1" customWidth="1"/>
    <col min="25" max="25" width="8.1328125" style="4" customWidth="1"/>
    <col min="26" max="26" width="9.59765625" style="7" bestFit="1" customWidth="1"/>
    <col min="27" max="27" width="9.1328125" style="40"/>
  </cols>
  <sheetData>
    <row r="1" spans="1:32" x14ac:dyDescent="0.35">
      <c r="A1" t="s">
        <v>259</v>
      </c>
      <c r="B1">
        <v>1.2</v>
      </c>
      <c r="G1" t="str" cm="1">
        <f t="array" aca="1" ref="G1:AF1" ca="1">_xlfn.ANCHORARRAY(SORT!A1)</f>
        <v>Instrument</v>
      </c>
      <c r="H1" t="str">
        <f ca="1"/>
        <v>Name</v>
      </c>
      <c r="I1" t="str">
        <f ca="1"/>
        <v>Ticker</v>
      </c>
      <c r="J1" t="str">
        <f ca="1"/>
        <v>Country/Region</v>
      </c>
      <c r="K1" t="str">
        <f ca="1"/>
        <v>Currency</v>
      </c>
      <c r="L1" t="str">
        <f ca="1"/>
        <v>Maturity</v>
      </c>
      <c r="M1" t="str">
        <f ca="1"/>
        <v>Coupon Type</v>
      </c>
      <c r="N1" t="str">
        <f ca="1"/>
        <v>Coupon Frequency</v>
      </c>
      <c r="O1" t="str">
        <f ca="1"/>
        <v>Coupon</v>
      </c>
      <c r="P1" t="str">
        <f ca="1"/>
        <v>Ask Yield to Maturity</v>
      </c>
      <c r="Q1" t="str">
        <f ca="1"/>
        <v>Bid Yield to Maturity</v>
      </c>
      <c r="R1" t="str">
        <f ca="1"/>
        <v>Ask Price</v>
      </c>
      <c r="S1" t="str">
        <f ca="1"/>
        <v>Bid Price</v>
      </c>
      <c r="T1" t="str">
        <f ca="1"/>
        <v>Identifier</v>
      </c>
      <c r="U1" t="str">
        <f ca="1"/>
        <v>ISIN</v>
      </c>
      <c r="V1" t="str">
        <f ca="1"/>
        <v>Bloomberg Composite Rating</v>
      </c>
      <c r="W1" t="str">
        <f ca="1"/>
        <v>Announce</v>
      </c>
      <c r="X1" t="str">
        <f ca="1"/>
        <v>Next Coupon Settle Date</v>
      </c>
      <c r="Y1" t="str">
        <f ca="1"/>
        <v>Time</v>
      </c>
      <c r="Z1" t="str">
        <f ca="1"/>
        <v>AVG Price</v>
      </c>
      <c r="AA1" s="40" t="str">
        <f ca="1"/>
        <v>ID</v>
      </c>
      <c r="AB1" t="str">
        <f ca="1"/>
        <v>TIMEish</v>
      </c>
      <c r="AC1" t="str">
        <f ca="1"/>
        <v>years ago</v>
      </c>
      <c r="AD1" t="str">
        <f ca="1"/>
        <v>Accrued Interest</v>
      </c>
      <c r="AE1" t="str">
        <f ca="1"/>
        <v>Clean price</v>
      </c>
      <c r="AF1" t="str">
        <f ca="1"/>
        <v>AVG yield</v>
      </c>
    </row>
    <row r="2" spans="1:32" x14ac:dyDescent="0.35">
      <c r="A2" t="s">
        <v>260</v>
      </c>
      <c r="B2">
        <f>B1+0.6</f>
        <v>1.7999999999999998</v>
      </c>
      <c r="C2" t="b" cm="1">
        <f t="array" aca="1" ref="C2:C38" ca="1">(SORT!S2:S38&gt;'MANUAL FILTER'!B1)</f>
        <v>0</v>
      </c>
      <c r="D2" t="b" cm="1">
        <f t="array" aca="1" ref="D2:D38" ca="1">(SORT!S2:S38&lt;'MANUAL FILTER'!B2)</f>
        <v>1</v>
      </c>
      <c r="E2" t="b">
        <f ca="1">AND(C2:D2)</f>
        <v>0</v>
      </c>
      <c r="G2" t="str" cm="1">
        <f t="array" aca="1" ref="G2:AF7" ca="1">_xlfn._xlws.FILTER(_xlfn.ANCHORARRAY(SORT!A2),E2:E38)</f>
        <v>YN599739 Corp</v>
      </c>
      <c r="H2" t="str">
        <f ca="1"/>
        <v>Toyota Finance Corp</v>
      </c>
      <c r="I2" t="str">
        <f ca="1"/>
        <v>TOYOTA</v>
      </c>
      <c r="J2" t="str">
        <f ca="1"/>
        <v>JP</v>
      </c>
      <c r="K2" t="str">
        <f ca="1"/>
        <v>JPY</v>
      </c>
      <c r="L2" t="str">
        <f ca="1"/>
        <v>22/07/2027</v>
      </c>
      <c r="M2" t="str">
        <f ca="1"/>
        <v>FIXED</v>
      </c>
      <c r="N2">
        <f ca="1"/>
        <v>2</v>
      </c>
      <c r="O2">
        <f ca="1"/>
        <v>0.96599999999999997</v>
      </c>
      <c r="P2">
        <f ca="1"/>
        <v>1.34</v>
      </c>
      <c r="Q2">
        <f ca="1"/>
        <v>1.3540000000000001</v>
      </c>
      <c r="R2" s="7">
        <f ca="1"/>
        <v>99.5</v>
      </c>
      <c r="S2" s="7">
        <f ca="1"/>
        <v>99.481999999999999</v>
      </c>
      <c r="T2" t="str">
        <f ca="1"/>
        <v>YN5997393</v>
      </c>
      <c r="U2" t="str">
        <f ca="1"/>
        <v>JP363360AR78</v>
      </c>
      <c r="V2" t="str">
        <f ca="1"/>
        <v>A+</v>
      </c>
      <c r="W2" t="str">
        <f ca="1"/>
        <v>15/07/2025</v>
      </c>
      <c r="X2" t="str">
        <f ca="1"/>
        <v>22/07/2026</v>
      </c>
      <c r="Y2" s="4">
        <f ca="1"/>
        <v>1.3114305270362765</v>
      </c>
      <c r="Z2" s="7">
        <f ca="1"/>
        <v>99.491</v>
      </c>
      <c r="AA2" s="40">
        <f ca="1"/>
        <v>11</v>
      </c>
      <c r="AB2">
        <f ca="1"/>
        <v>1</v>
      </c>
      <c r="AC2">
        <f ca="1"/>
        <v>1</v>
      </c>
      <c r="AD2">
        <f ca="1"/>
        <v>0.35561538461538461</v>
      </c>
      <c r="AE2">
        <f ca="1"/>
        <v>99.135384615384609</v>
      </c>
      <c r="AF2">
        <f ca="1"/>
        <v>1.347</v>
      </c>
    </row>
    <row r="3" spans="1:32" x14ac:dyDescent="0.35">
      <c r="C3" t="b">
        <f ca="1"/>
        <v>0</v>
      </c>
      <c r="D3" t="b">
        <f ca="1"/>
        <v>1</v>
      </c>
      <c r="E3" t="b">
        <f t="shared" ref="E3:E38" ca="1" si="0">AND(C3:D3)</f>
        <v>0</v>
      </c>
      <c r="G3" t="str">
        <f ca="1"/>
        <v>AO295977 Corp</v>
      </c>
      <c r="H3" t="str">
        <f ca="1"/>
        <v>Toyota Finance Corp</v>
      </c>
      <c r="I3" t="str">
        <f ca="1"/>
        <v>TOYOTA</v>
      </c>
      <c r="J3" t="str">
        <f ca="1"/>
        <v>JP</v>
      </c>
      <c r="K3" t="str">
        <f ca="1"/>
        <v>JPY</v>
      </c>
      <c r="L3" t="str">
        <f ca="1"/>
        <v>23/07/2027</v>
      </c>
      <c r="M3" t="str">
        <f ca="1"/>
        <v>FIXED</v>
      </c>
      <c r="N3">
        <f ca="1"/>
        <v>2</v>
      </c>
      <c r="O3">
        <f ca="1"/>
        <v>0.26500000000000001</v>
      </c>
      <c r="P3">
        <f ca="1"/>
        <v>1.3460000000000001</v>
      </c>
      <c r="Q3">
        <f ca="1"/>
        <v>1.3599999999999999</v>
      </c>
      <c r="R3" s="7">
        <f ca="1"/>
        <v>98.552999999999997</v>
      </c>
      <c r="S3" s="7">
        <f ca="1"/>
        <v>98.534000000000006</v>
      </c>
      <c r="T3" t="str">
        <f ca="1"/>
        <v>AO2959770</v>
      </c>
      <c r="U3" t="str">
        <f ca="1"/>
        <v>JP363360CH78</v>
      </c>
      <c r="V3" t="str">
        <f ca="1"/>
        <v>A+</v>
      </c>
      <c r="W3" t="str">
        <f ca="1"/>
        <v>14/07/2017</v>
      </c>
      <c r="X3" t="str">
        <f ca="1"/>
        <v>24/07/2026</v>
      </c>
      <c r="Y3" s="4">
        <f ca="1"/>
        <v>1.3141683778234086</v>
      </c>
      <c r="Z3" s="7">
        <f ca="1"/>
        <v>98.543499999999995</v>
      </c>
      <c r="AA3" s="40">
        <f ca="1"/>
        <v>29</v>
      </c>
      <c r="AB3">
        <f ca="1"/>
        <v>1</v>
      </c>
      <c r="AC3">
        <f ca="1"/>
        <v>9</v>
      </c>
      <c r="AD3">
        <f ca="1"/>
        <v>9.4642857142857154E-2</v>
      </c>
      <c r="AE3">
        <f ca="1"/>
        <v>98.448857142857136</v>
      </c>
      <c r="AF3">
        <f ca="1"/>
        <v>1.353</v>
      </c>
    </row>
    <row r="4" spans="1:32" x14ac:dyDescent="0.35">
      <c r="C4" t="b">
        <f ca="1"/>
        <v>0</v>
      </c>
      <c r="D4" t="b">
        <f ca="1"/>
        <v>1</v>
      </c>
      <c r="E4" t="b">
        <f t="shared" ca="1" si="0"/>
        <v>0</v>
      </c>
      <c r="G4" t="str">
        <f ca="1"/>
        <v>YV792963 Corp</v>
      </c>
      <c r="H4" t="str">
        <f ca="1"/>
        <v>Toyota Finance Corp</v>
      </c>
      <c r="I4" t="str">
        <f ca="1"/>
        <v>TOYOTA</v>
      </c>
      <c r="J4" t="str">
        <f ca="1"/>
        <v>JP</v>
      </c>
      <c r="K4" t="str">
        <f ca="1"/>
        <v>JPY</v>
      </c>
      <c r="L4" t="str">
        <f ca="1"/>
        <v>08/10/2027</v>
      </c>
      <c r="M4" t="str">
        <f ca="1"/>
        <v>FIXED</v>
      </c>
      <c r="N4">
        <f ca="1"/>
        <v>2</v>
      </c>
      <c r="O4">
        <f ca="1"/>
        <v>0.57299999999999995</v>
      </c>
      <c r="P4">
        <f ca="1"/>
        <v>1.4060000000000001</v>
      </c>
      <c r="Q4">
        <f ca="1"/>
        <v>1.421</v>
      </c>
      <c r="R4" s="7">
        <f ca="1"/>
        <v>98.715999999999994</v>
      </c>
      <c r="S4" s="7">
        <f ca="1"/>
        <v>98.694000000000003</v>
      </c>
      <c r="T4" t="str">
        <f ca="1"/>
        <v>YV7929636</v>
      </c>
      <c r="U4" t="str">
        <f ca="1"/>
        <v>JP363360AQA9</v>
      </c>
      <c r="V4" t="str">
        <f ca="1"/>
        <v>A+</v>
      </c>
      <c r="W4" t="str">
        <f ca="1"/>
        <v>04/10/2024</v>
      </c>
      <c r="X4" t="str">
        <f ca="1"/>
        <v>10/04/2026</v>
      </c>
      <c r="Y4" s="4">
        <f ca="1"/>
        <v>1.5249828884325805</v>
      </c>
      <c r="Z4" s="7">
        <f ca="1"/>
        <v>98.704999999999998</v>
      </c>
      <c r="AA4" s="40">
        <f ca="1"/>
        <v>24</v>
      </c>
      <c r="AB4">
        <f ca="1"/>
        <v>1.5</v>
      </c>
      <c r="AC4">
        <f ca="1"/>
        <v>2</v>
      </c>
      <c r="AD4">
        <f ca="1"/>
        <v>0.53836813186813182</v>
      </c>
      <c r="AE4">
        <f ca="1"/>
        <v>98.166631868131873</v>
      </c>
      <c r="AF4">
        <f ca="1"/>
        <v>1.4135</v>
      </c>
    </row>
    <row r="5" spans="1:32" x14ac:dyDescent="0.35">
      <c r="C5" t="b">
        <f ca="1"/>
        <v>0</v>
      </c>
      <c r="D5" t="b">
        <f ca="1"/>
        <v>1</v>
      </c>
      <c r="E5" t="b">
        <f t="shared" ca="1" si="0"/>
        <v>0</v>
      </c>
      <c r="G5" t="str">
        <f ca="1"/>
        <v>YK172992 Corp</v>
      </c>
      <c r="H5" t="str">
        <f ca="1"/>
        <v>Toyota Finance Corp</v>
      </c>
      <c r="I5" t="str">
        <f ca="1"/>
        <v>TOYOTA</v>
      </c>
      <c r="J5" t="str">
        <f ca="1"/>
        <v>JP</v>
      </c>
      <c r="K5" t="str">
        <f ca="1"/>
        <v>JPY</v>
      </c>
      <c r="L5" t="str">
        <f ca="1"/>
        <v>15/10/2027</v>
      </c>
      <c r="M5" t="str">
        <f ca="1"/>
        <v>FIXED</v>
      </c>
      <c r="N5">
        <f ca="1"/>
        <v>2</v>
      </c>
      <c r="O5">
        <f ca="1"/>
        <v>1.089</v>
      </c>
      <c r="P5">
        <f ca="1"/>
        <v>1.3959999999999999</v>
      </c>
      <c r="Q5">
        <f ca="1"/>
        <v>1.411</v>
      </c>
      <c r="R5" s="7">
        <f ca="1"/>
        <v>99.521000000000001</v>
      </c>
      <c r="S5" s="7">
        <f ca="1"/>
        <v>99.498000000000005</v>
      </c>
      <c r="T5" t="str">
        <f ca="1"/>
        <v>YK1729929</v>
      </c>
      <c r="U5" t="str">
        <f ca="1"/>
        <v>JP363360CRA3</v>
      </c>
      <c r="V5" t="str">
        <f ca="1"/>
        <v>A+</v>
      </c>
      <c r="W5" t="str">
        <f ca="1"/>
        <v>10/10/2025</v>
      </c>
      <c r="X5" t="str">
        <f ca="1"/>
        <v>17/04/2026</v>
      </c>
      <c r="Y5" s="4">
        <f ca="1"/>
        <v>1.5441478439425051</v>
      </c>
      <c r="Z5" s="7">
        <f ca="1"/>
        <v>99.509500000000003</v>
      </c>
      <c r="AA5" s="40">
        <f ca="1"/>
        <v>37</v>
      </c>
      <c r="AB5">
        <f ca="1"/>
        <v>1.5</v>
      </c>
      <c r="AC5">
        <f ca="1"/>
        <v>1</v>
      </c>
      <c r="AD5">
        <f ca="1"/>
        <v>0.98129670329670327</v>
      </c>
      <c r="AE5">
        <f ca="1"/>
        <v>98.528203296703296</v>
      </c>
      <c r="AF5">
        <f ca="1"/>
        <v>1.4035</v>
      </c>
    </row>
    <row r="6" spans="1:32" x14ac:dyDescent="0.35">
      <c r="C6" t="b">
        <f ca="1"/>
        <v>0</v>
      </c>
      <c r="D6" t="b">
        <f ca="1"/>
        <v>1</v>
      </c>
      <c r="E6" t="b">
        <f t="shared" ca="1" si="0"/>
        <v>0</v>
      </c>
      <c r="G6" t="str">
        <f ca="1"/>
        <v>BZ742454 Corp</v>
      </c>
      <c r="H6" t="str">
        <f ca="1"/>
        <v>Toyota Finance Corp</v>
      </c>
      <c r="I6" t="str">
        <f ca="1"/>
        <v>TOYOTA</v>
      </c>
      <c r="J6" t="str">
        <f ca="1"/>
        <v>JP</v>
      </c>
      <c r="K6" t="str">
        <f ca="1"/>
        <v>JPY</v>
      </c>
      <c r="L6" t="str">
        <f ca="1"/>
        <v>21/10/2027</v>
      </c>
      <c r="M6" t="str">
        <f ca="1"/>
        <v>FIXED</v>
      </c>
      <c r="N6">
        <f ca="1"/>
        <v>2</v>
      </c>
      <c r="O6">
        <f ca="1"/>
        <v>0.38500000000000001</v>
      </c>
      <c r="P6">
        <f ca="1"/>
        <v>1.419</v>
      </c>
      <c r="Q6">
        <f ca="1"/>
        <v>1.4339999999999999</v>
      </c>
      <c r="R6" s="7">
        <f ca="1"/>
        <v>98.373999999999995</v>
      </c>
      <c r="S6" s="7">
        <f ca="1"/>
        <v>98.350999999999999</v>
      </c>
      <c r="T6" t="str">
        <f ca="1"/>
        <v>BZ7424543</v>
      </c>
      <c r="U6" t="str">
        <f ca="1"/>
        <v>JP363360BNA4</v>
      </c>
      <c r="V6" t="str">
        <f ca="1"/>
        <v>A+</v>
      </c>
      <c r="W6" t="str">
        <f ca="1"/>
        <v>14/10/2022</v>
      </c>
      <c r="X6" t="str">
        <f ca="1"/>
        <v>21/04/2026</v>
      </c>
      <c r="Y6" s="4">
        <f ca="1"/>
        <v>1.5605749486652978</v>
      </c>
      <c r="Z6" s="7">
        <f ca="1"/>
        <v>98.362499999999997</v>
      </c>
      <c r="AA6" s="40">
        <f ca="1"/>
        <v>36</v>
      </c>
      <c r="AB6">
        <f ca="1"/>
        <v>1.5</v>
      </c>
      <c r="AC6">
        <f ca="1"/>
        <v>4</v>
      </c>
      <c r="AD6">
        <f ca="1"/>
        <v>0.33846153846153848</v>
      </c>
      <c r="AE6">
        <f ca="1"/>
        <v>98.024038461538453</v>
      </c>
      <c r="AF6">
        <f ca="1"/>
        <v>1.4264999999999999</v>
      </c>
    </row>
    <row r="7" spans="1:32" x14ac:dyDescent="0.35">
      <c r="C7" t="b">
        <f ca="1"/>
        <v>0</v>
      </c>
      <c r="D7" t="b">
        <f ca="1"/>
        <v>1</v>
      </c>
      <c r="E7" t="b">
        <f t="shared" ca="1" si="0"/>
        <v>0</v>
      </c>
      <c r="G7" t="str">
        <f ca="1"/>
        <v>AP577034 Corp</v>
      </c>
      <c r="H7" t="str">
        <f ca="1"/>
        <v>Toyota Finance Corp</v>
      </c>
      <c r="I7" t="str">
        <f ca="1"/>
        <v>TOYOTA</v>
      </c>
      <c r="J7" t="str">
        <f ca="1"/>
        <v>JP</v>
      </c>
      <c r="K7" t="str">
        <f ca="1"/>
        <v>JPY</v>
      </c>
      <c r="L7" t="str">
        <f ca="1"/>
        <v>22/10/2027</v>
      </c>
      <c r="M7" t="str">
        <f ca="1"/>
        <v>FIXED</v>
      </c>
      <c r="N7">
        <f ca="1"/>
        <v>2</v>
      </c>
      <c r="O7">
        <f ca="1"/>
        <v>0.26500000000000001</v>
      </c>
      <c r="P7">
        <f ca="1"/>
        <v>1.4179999999999999</v>
      </c>
      <c r="Q7">
        <f ca="1"/>
        <v>1.4330000000000001</v>
      </c>
      <c r="R7" s="7">
        <f ca="1"/>
        <v>98.183999999999997</v>
      </c>
      <c r="S7" s="7">
        <f ca="1"/>
        <v>98.16</v>
      </c>
      <c r="T7" t="str">
        <f ca="1"/>
        <v>AP5770346</v>
      </c>
      <c r="U7" t="str">
        <f ca="1"/>
        <v>JP363360CHA4</v>
      </c>
      <c r="V7" t="str">
        <f ca="1"/>
        <v>A+</v>
      </c>
      <c r="W7" t="str">
        <f ca="1"/>
        <v>13/10/2017</v>
      </c>
      <c r="X7" t="str">
        <f ca="1"/>
        <v>24/04/2026</v>
      </c>
      <c r="Y7" s="4">
        <f ca="1"/>
        <v>1.5633127994524298</v>
      </c>
      <c r="Z7" s="7">
        <f ca="1"/>
        <v>98.171999999999997</v>
      </c>
      <c r="AA7" s="40">
        <f ca="1"/>
        <v>20</v>
      </c>
      <c r="AB7">
        <f ca="1"/>
        <v>1.5</v>
      </c>
      <c r="AC7">
        <f ca="1"/>
        <v>9</v>
      </c>
      <c r="AD7">
        <f ca="1"/>
        <v>0.22859890109890113</v>
      </c>
      <c r="AE7">
        <f ca="1"/>
        <v>97.943401098901091</v>
      </c>
      <c r="AF7">
        <f ca="1"/>
        <v>1.4255</v>
      </c>
    </row>
    <row r="8" spans="1:32" x14ac:dyDescent="0.35">
      <c r="C8" t="b">
        <f ca="1"/>
        <v>0</v>
      </c>
      <c r="D8" t="b">
        <f ca="1"/>
        <v>1</v>
      </c>
      <c r="E8" t="b">
        <f t="shared" ca="1" si="0"/>
        <v>0</v>
      </c>
    </row>
    <row r="9" spans="1:32" x14ac:dyDescent="0.35">
      <c r="C9" t="b">
        <f ca="1"/>
        <v>0</v>
      </c>
      <c r="D9" t="b">
        <f ca="1"/>
        <v>1</v>
      </c>
      <c r="E9" t="b">
        <f t="shared" ca="1" si="0"/>
        <v>0</v>
      </c>
    </row>
    <row r="10" spans="1:32" x14ac:dyDescent="0.35">
      <c r="C10" t="b">
        <f ca="1"/>
        <v>0</v>
      </c>
      <c r="D10" t="b">
        <f ca="1"/>
        <v>1</v>
      </c>
      <c r="E10" t="b">
        <f t="shared" ca="1" si="0"/>
        <v>0</v>
      </c>
    </row>
    <row r="11" spans="1:32" x14ac:dyDescent="0.35">
      <c r="C11" t="b">
        <f ca="1"/>
        <v>1</v>
      </c>
      <c r="D11" t="b">
        <f ca="1"/>
        <v>1</v>
      </c>
      <c r="E11" t="b">
        <f t="shared" ca="1" si="0"/>
        <v>1</v>
      </c>
    </row>
    <row r="12" spans="1:32" x14ac:dyDescent="0.35">
      <c r="C12" t="b">
        <f ca="1"/>
        <v>1</v>
      </c>
      <c r="D12" t="b">
        <f ca="1"/>
        <v>1</v>
      </c>
      <c r="E12" t="b">
        <f t="shared" ca="1" si="0"/>
        <v>1</v>
      </c>
    </row>
    <row r="13" spans="1:32" x14ac:dyDescent="0.35">
      <c r="C13" t="b">
        <f ca="1"/>
        <v>1</v>
      </c>
      <c r="D13" t="b">
        <f ca="1"/>
        <v>1</v>
      </c>
      <c r="E13" t="b">
        <f t="shared" ca="1" si="0"/>
        <v>1</v>
      </c>
    </row>
    <row r="14" spans="1:32" x14ac:dyDescent="0.35">
      <c r="C14" t="b">
        <f ca="1"/>
        <v>1</v>
      </c>
      <c r="D14" t="b">
        <f ca="1"/>
        <v>1</v>
      </c>
      <c r="E14" t="b">
        <f t="shared" ca="1" si="0"/>
        <v>1</v>
      </c>
    </row>
    <row r="15" spans="1:32" x14ac:dyDescent="0.35">
      <c r="C15" t="b">
        <f ca="1"/>
        <v>1</v>
      </c>
      <c r="D15" t="b">
        <f ca="1"/>
        <v>1</v>
      </c>
      <c r="E15" t="b">
        <f t="shared" ca="1" si="0"/>
        <v>1</v>
      </c>
    </row>
    <row r="16" spans="1:32" x14ac:dyDescent="0.35">
      <c r="C16" t="b">
        <f ca="1"/>
        <v>1</v>
      </c>
      <c r="D16" t="b">
        <f ca="1"/>
        <v>1</v>
      </c>
      <c r="E16" t="b">
        <f t="shared" ca="1" si="0"/>
        <v>1</v>
      </c>
    </row>
    <row r="17" spans="3:5" x14ac:dyDescent="0.35">
      <c r="C17" t="b">
        <f ca="1"/>
        <v>1</v>
      </c>
      <c r="D17" t="b">
        <f ca="1"/>
        <v>0</v>
      </c>
      <c r="E17" t="b">
        <f t="shared" ca="1" si="0"/>
        <v>0</v>
      </c>
    </row>
    <row r="18" spans="3:5" x14ac:dyDescent="0.35">
      <c r="C18" t="b">
        <f ca="1"/>
        <v>1</v>
      </c>
      <c r="D18" t="b">
        <f ca="1"/>
        <v>0</v>
      </c>
      <c r="E18" t="b">
        <f t="shared" ca="1" si="0"/>
        <v>0</v>
      </c>
    </row>
    <row r="19" spans="3:5" x14ac:dyDescent="0.35">
      <c r="C19" t="b">
        <f ca="1"/>
        <v>1</v>
      </c>
      <c r="D19" t="b">
        <f ca="1"/>
        <v>0</v>
      </c>
      <c r="E19" t="b">
        <f t="shared" ca="1" si="0"/>
        <v>0</v>
      </c>
    </row>
    <row r="20" spans="3:5" x14ac:dyDescent="0.35">
      <c r="C20" t="b">
        <f ca="1"/>
        <v>1</v>
      </c>
      <c r="D20" t="b">
        <f ca="1"/>
        <v>0</v>
      </c>
      <c r="E20" t="b">
        <f t="shared" ca="1" si="0"/>
        <v>0</v>
      </c>
    </row>
    <row r="21" spans="3:5" x14ac:dyDescent="0.35">
      <c r="C21" t="b">
        <f ca="1"/>
        <v>1</v>
      </c>
      <c r="D21" t="b">
        <f ca="1"/>
        <v>0</v>
      </c>
      <c r="E21" t="b">
        <f t="shared" ca="1" si="0"/>
        <v>0</v>
      </c>
    </row>
    <row r="22" spans="3:5" x14ac:dyDescent="0.35">
      <c r="C22" t="b">
        <f ca="1"/>
        <v>1</v>
      </c>
      <c r="D22" t="b">
        <f ca="1"/>
        <v>0</v>
      </c>
      <c r="E22" t="b">
        <f t="shared" ca="1" si="0"/>
        <v>0</v>
      </c>
    </row>
    <row r="23" spans="3:5" x14ac:dyDescent="0.35">
      <c r="C23" t="b">
        <f ca="1"/>
        <v>1</v>
      </c>
      <c r="D23" t="b">
        <f ca="1"/>
        <v>0</v>
      </c>
      <c r="E23" t="b">
        <f t="shared" ca="1" si="0"/>
        <v>0</v>
      </c>
    </row>
    <row r="24" spans="3:5" x14ac:dyDescent="0.35">
      <c r="C24" t="b">
        <f ca="1"/>
        <v>1</v>
      </c>
      <c r="D24" t="b">
        <f ca="1"/>
        <v>0</v>
      </c>
      <c r="E24" t="b">
        <f t="shared" ca="1" si="0"/>
        <v>0</v>
      </c>
    </row>
    <row r="25" spans="3:5" x14ac:dyDescent="0.35">
      <c r="C25" t="b">
        <f ca="1"/>
        <v>1</v>
      </c>
      <c r="D25" t="b">
        <f ca="1"/>
        <v>0</v>
      </c>
      <c r="E25" t="b">
        <f t="shared" ca="1" si="0"/>
        <v>0</v>
      </c>
    </row>
    <row r="26" spans="3:5" x14ac:dyDescent="0.35">
      <c r="C26" t="b">
        <f ca="1"/>
        <v>1</v>
      </c>
      <c r="D26" t="b">
        <f ca="1"/>
        <v>0</v>
      </c>
      <c r="E26" t="b">
        <f t="shared" ca="1" si="0"/>
        <v>0</v>
      </c>
    </row>
    <row r="27" spans="3:5" x14ac:dyDescent="0.35">
      <c r="C27" t="b">
        <f ca="1"/>
        <v>1</v>
      </c>
      <c r="D27" t="b">
        <f ca="1"/>
        <v>0</v>
      </c>
      <c r="E27" t="b">
        <f t="shared" ca="1" si="0"/>
        <v>0</v>
      </c>
    </row>
    <row r="28" spans="3:5" x14ac:dyDescent="0.35">
      <c r="C28" t="b">
        <f ca="1"/>
        <v>1</v>
      </c>
      <c r="D28" t="b">
        <f ca="1"/>
        <v>0</v>
      </c>
      <c r="E28" t="b">
        <f t="shared" ca="1" si="0"/>
        <v>0</v>
      </c>
    </row>
    <row r="29" spans="3:5" x14ac:dyDescent="0.35">
      <c r="C29" t="b">
        <f ca="1"/>
        <v>1</v>
      </c>
      <c r="D29" t="b">
        <f ca="1"/>
        <v>0</v>
      </c>
      <c r="E29" t="b">
        <f t="shared" ca="1" si="0"/>
        <v>0</v>
      </c>
    </row>
    <row r="30" spans="3:5" x14ac:dyDescent="0.35">
      <c r="C30" t="b">
        <f ca="1"/>
        <v>1</v>
      </c>
      <c r="D30" t="b">
        <f ca="1"/>
        <v>0</v>
      </c>
      <c r="E30" t="b">
        <f t="shared" ca="1" si="0"/>
        <v>0</v>
      </c>
    </row>
    <row r="31" spans="3:5" x14ac:dyDescent="0.35">
      <c r="C31" t="b">
        <f ca="1"/>
        <v>1</v>
      </c>
      <c r="D31" t="b">
        <f ca="1"/>
        <v>0</v>
      </c>
      <c r="E31" t="b">
        <f t="shared" ca="1" si="0"/>
        <v>0</v>
      </c>
    </row>
    <row r="32" spans="3:5" x14ac:dyDescent="0.35">
      <c r="C32" t="b">
        <f ca="1"/>
        <v>1</v>
      </c>
      <c r="D32" t="b">
        <f ca="1"/>
        <v>0</v>
      </c>
      <c r="E32" t="b">
        <f t="shared" ca="1" si="0"/>
        <v>0</v>
      </c>
    </row>
    <row r="33" spans="3:5" x14ac:dyDescent="0.35">
      <c r="C33" t="b">
        <f ca="1"/>
        <v>1</v>
      </c>
      <c r="D33" t="b">
        <f ca="1"/>
        <v>0</v>
      </c>
      <c r="E33" t="b">
        <f t="shared" ca="1" si="0"/>
        <v>0</v>
      </c>
    </row>
    <row r="34" spans="3:5" x14ac:dyDescent="0.35">
      <c r="C34" t="b">
        <f ca="1"/>
        <v>1</v>
      </c>
      <c r="D34" t="b">
        <f ca="1"/>
        <v>0</v>
      </c>
      <c r="E34" t="b">
        <f t="shared" ca="1" si="0"/>
        <v>0</v>
      </c>
    </row>
    <row r="35" spans="3:5" x14ac:dyDescent="0.35">
      <c r="C35" t="b">
        <f ca="1"/>
        <v>1</v>
      </c>
      <c r="D35" t="b">
        <f ca="1"/>
        <v>0</v>
      </c>
      <c r="E35" t="b">
        <f t="shared" ca="1" si="0"/>
        <v>0</v>
      </c>
    </row>
    <row r="36" spans="3:5" x14ac:dyDescent="0.35">
      <c r="C36" t="b">
        <f ca="1"/>
        <v>1</v>
      </c>
      <c r="D36" t="b">
        <f ca="1"/>
        <v>0</v>
      </c>
      <c r="E36" t="b">
        <f t="shared" ca="1" si="0"/>
        <v>0</v>
      </c>
    </row>
    <row r="37" spans="3:5" x14ac:dyDescent="0.35">
      <c r="C37" t="b">
        <f ca="1"/>
        <v>1</v>
      </c>
      <c r="D37" t="b">
        <f ca="1"/>
        <v>0</v>
      </c>
      <c r="E37" t="b">
        <f t="shared" ca="1" si="0"/>
        <v>0</v>
      </c>
    </row>
    <row r="38" spans="3:5" x14ac:dyDescent="0.35">
      <c r="C38" t="b">
        <f ca="1"/>
        <v>1</v>
      </c>
      <c r="D38" t="b">
        <f ca="1"/>
        <v>0</v>
      </c>
      <c r="E38" t="b">
        <f t="shared" ca="1" si="0"/>
        <v>0</v>
      </c>
    </row>
  </sheetData>
  <conditionalFormatting sqref="O1:O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Bloomberg (Online)</vt:lpstr>
      <vt:lpstr>Offline</vt:lpstr>
      <vt:lpstr>SORT</vt:lpstr>
      <vt:lpstr>ID filter</vt:lpstr>
      <vt:lpstr>F coupon&lt;0.5</vt:lpstr>
      <vt:lpstr>F date&lt;=1</vt:lpstr>
      <vt:lpstr>NSS</vt:lpstr>
      <vt:lpstr>MANUAL FILTER</vt:lpstr>
      <vt:lpstr>NSS!b0</vt:lpstr>
      <vt:lpstr>NSS!b1_</vt:lpstr>
      <vt:lpstr>NSS!b2_</vt:lpstr>
      <vt:lpstr>NSS!b3_</vt:lpstr>
      <vt:lpstr>NSS!tau1_</vt:lpstr>
      <vt:lpstr>NSS!tau2_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PG-Rota, Pietro</cp:lastModifiedBy>
  <cp:revision/>
  <dcterms:created xsi:type="dcterms:W3CDTF">2026-03-10T14:49:27Z</dcterms:created>
  <dcterms:modified xsi:type="dcterms:W3CDTF">2026-03-30T12:36:18Z</dcterms:modified>
  <cp:category/>
  <cp:contentStatus/>
</cp:coreProperties>
</file>